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Part A &amp; B" sheetId="1" r:id="rId1"/>
    <sheet name="Part 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<sst xmlns="http://schemas.openxmlformats.org/spreadsheetml/2006/main" count="178" uniqueCount="121">
  <si>
    <t>Order ID</t>
  </si>
  <si>
    <t>Customer First  Name</t>
  </si>
  <si>
    <t>Customer Last Name</t>
  </si>
  <si>
    <t>Product</t>
  </si>
  <si>
    <t>Category</t>
  </si>
  <si>
    <t>Unit Price</t>
  </si>
  <si>
    <t>Quantity</t>
  </si>
  <si>
    <t>Discount %</t>
  </si>
  <si>
    <t>Order Date</t>
  </si>
  <si>
    <t>Region</t>
  </si>
  <si>
    <t>Salesperson</t>
  </si>
  <si>
    <t>Total Sales</t>
  </si>
  <si>
    <t>Net Sales</t>
  </si>
  <si>
    <r>
      <rPr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Discount Flag</t>
    </r>
  </si>
  <si>
    <t>Customer Name</t>
  </si>
  <si>
    <t>Priority Status</t>
  </si>
  <si>
    <t>Highest and Lowest Net Sales</t>
  </si>
  <si>
    <t xml:space="preserve">Large Orders </t>
  </si>
  <si>
    <t>Total Net Sales per Category</t>
  </si>
  <si>
    <t>Average Discount per Salesperson</t>
  </si>
  <si>
    <t>Number of Orders per Region</t>
  </si>
  <si>
    <t>O101</t>
  </si>
  <si>
    <t>John</t>
  </si>
  <si>
    <t>Doe</t>
  </si>
  <si>
    <t>Shampoo 250ml</t>
  </si>
  <si>
    <t>Hair Care</t>
  </si>
  <si>
    <t>Dhaka</t>
  </si>
  <si>
    <t>Aisha</t>
  </si>
  <si>
    <t>O102</t>
  </si>
  <si>
    <t>Mary</t>
  </si>
  <si>
    <t>Smith</t>
  </si>
  <si>
    <t>Conditioner 200ml</t>
  </si>
  <si>
    <t>Chittagong</t>
  </si>
  <si>
    <t>Rafi</t>
  </si>
  <si>
    <t>O103</t>
  </si>
  <si>
    <t>Ali</t>
  </si>
  <si>
    <t>Khan</t>
  </si>
  <si>
    <t>Face Wash 100ml</t>
  </si>
  <si>
    <t>Skin Care</t>
  </si>
  <si>
    <t>Mehnaz</t>
  </si>
  <si>
    <t>O104</t>
  </si>
  <si>
    <t>Sara</t>
  </si>
  <si>
    <t>Lee</t>
  </si>
  <si>
    <t>Body Lotion 400ml</t>
  </si>
  <si>
    <t>Sylhet</t>
  </si>
  <si>
    <t>Tariq</t>
  </si>
  <si>
    <t>O105</t>
  </si>
  <si>
    <t>Tom</t>
  </si>
  <si>
    <t>Brown</t>
  </si>
  <si>
    <t>Soap 100g</t>
  </si>
  <si>
    <t>Body Care</t>
  </si>
  <si>
    <t>Khulna</t>
  </si>
  <si>
    <t>O106</t>
  </si>
  <si>
    <t>Rina</t>
  </si>
  <si>
    <t>Das</t>
  </si>
  <si>
    <t>Hair Oil 200ml</t>
  </si>
  <si>
    <t>O107</t>
  </si>
  <si>
    <t>Samir</t>
  </si>
  <si>
    <t>Roy</t>
  </si>
  <si>
    <t>Sunscreen SPF50</t>
  </si>
  <si>
    <t>O108</t>
  </si>
  <si>
    <t>Nadia</t>
  </si>
  <si>
    <t>Karim</t>
  </si>
  <si>
    <t>Face Cream 50ml</t>
  </si>
  <si>
    <t>O109</t>
  </si>
  <si>
    <t>Arif</t>
  </si>
  <si>
    <t>Hossain</t>
  </si>
  <si>
    <t>Shampoo 500ml</t>
  </si>
  <si>
    <t>O110</t>
  </si>
  <si>
    <t>Laila</t>
  </si>
  <si>
    <t>Ahmed</t>
  </si>
  <si>
    <t>Conditioner 250ml</t>
  </si>
  <si>
    <t>O111</t>
  </si>
  <si>
    <t>Kamal</t>
  </si>
  <si>
    <t>Uddin</t>
  </si>
  <si>
    <t>Body Wash 300ml</t>
  </si>
  <si>
    <t>O112</t>
  </si>
  <si>
    <t>Minu</t>
  </si>
  <si>
    <t>Rahman</t>
  </si>
  <si>
    <t>Sunscreen SPF30</t>
  </si>
  <si>
    <t>O113</t>
  </si>
  <si>
    <t>Hasan</t>
  </si>
  <si>
    <t>Hair Serum 100ml</t>
  </si>
  <si>
    <t>O114</t>
  </si>
  <si>
    <t>Farhana</t>
  </si>
  <si>
    <t>Islam</t>
  </si>
  <si>
    <t>Soap 150g</t>
  </si>
  <si>
    <t>O115</t>
  </si>
  <si>
    <t>Rafiq</t>
  </si>
  <si>
    <t>Face Wash 150ml</t>
  </si>
  <si>
    <t>O116</t>
  </si>
  <si>
    <t>Saba</t>
  </si>
  <si>
    <t>Noor</t>
  </si>
  <si>
    <t>Body Lotion 500ml</t>
  </si>
  <si>
    <t>O117</t>
  </si>
  <si>
    <t>Tanvir</t>
  </si>
  <si>
    <t>Hair Oil 250ml</t>
  </si>
  <si>
    <t>O118</t>
  </si>
  <si>
    <t>Nabila</t>
  </si>
  <si>
    <t>Chowdhury</t>
  </si>
  <si>
    <t>Shampoo 300ml</t>
  </si>
  <si>
    <t>O119</t>
  </si>
  <si>
    <t>Iqbal</t>
  </si>
  <si>
    <t>Face Cream 100ml</t>
  </si>
  <si>
    <t>O120</t>
  </si>
  <si>
    <t>Sabrina</t>
  </si>
  <si>
    <t>Soap 200g</t>
  </si>
  <si>
    <t>Email</t>
  </si>
  <si>
    <t>Order_ID</t>
  </si>
  <si>
    <t>Clean Name</t>
  </si>
  <si>
    <t>Item Code</t>
  </si>
  <si>
    <t>Review Data</t>
  </si>
  <si>
    <t>nahiyan ISLAM</t>
  </si>
  <si>
    <t xml:space="preserve">nahiyan@example.com </t>
  </si>
  <si>
    <t xml:space="preserve">ORD-101-2024 </t>
  </si>
  <si>
    <t>Rahbat Rehnuma</t>
  </si>
  <si>
    <t xml:space="preserve">rahbat@example.com </t>
  </si>
  <si>
    <t xml:space="preserve">ORD-102-2024 </t>
  </si>
  <si>
    <t>SAdique saBab</t>
  </si>
  <si>
    <t xml:space="preserve">sadique@example.com </t>
  </si>
  <si>
    <t xml:space="preserve">ORD-103-2024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</si>
</sst>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#\ ?/?"/>
    <numFmt numFmtId="180" formatCode="dd\-mmm\-yyyy"/>
    <numFmt numFmtId="181" formatCode="d\-mmm\-yyyy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78" fontId="2" fillId="0" borderId="0" xfId="0" applyNumberFormat="1" applyFont="1"/>
    <xf numFmtId="58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17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80" fontId="4" fillId="0" borderId="0" xfId="0" applyNumberFormat="1" applyFont="1" applyAlignment="1">
      <alignment horizontal="right"/>
    </xf>
    <xf numFmtId="3" fontId="2" fillId="0" borderId="0" xfId="0" applyNumberFormat="1" applyFont="1"/>
    <xf numFmtId="181" fontId="4" fillId="0" borderId="0" xfId="0" applyNumberFormat="1" applyFont="1" applyAlignment="1">
      <alignment horizontal="right"/>
    </xf>
    <xf numFmtId="4" fontId="2" fillId="0" borderId="0" xfId="0" applyNumberFormat="1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000"/>
  <sheetViews>
    <sheetView tabSelected="1" zoomScale="70" zoomScaleNormal="70" workbookViewId="0">
      <selection activeCell="S3" sqref="S3"/>
    </sheetView>
  </sheetViews>
  <sheetFormatPr defaultColWidth="12.6363636363636" defaultRowHeight="15.75" customHeight="1"/>
  <cols>
    <col min="17" max="17" width="24.7272727272727" customWidth="1"/>
    <col min="19" max="19" width="23.6363636363636" customWidth="1"/>
    <col min="20" max="20" width="43.4545454545455" customWidth="1"/>
    <col min="21" max="21" width="39.3636363636364" customWidth="1"/>
    <col min="22" max="22" width="34.4545454545455" customWidth="1"/>
  </cols>
  <sheetData>
    <row r="1" ht="13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8" t="s">
        <v>11</v>
      </c>
      <c r="M1" s="9" t="s">
        <v>12</v>
      </c>
      <c r="N1" s="10" t="s">
        <v>13</v>
      </c>
      <c r="O1" s="1" t="s">
        <v>14</v>
      </c>
      <c r="P1" s="1" t="s">
        <v>15</v>
      </c>
      <c r="Q1" s="15" t="s">
        <v>16</v>
      </c>
      <c r="R1" s="1" t="s">
        <v>17</v>
      </c>
      <c r="S1" s="15" t="s">
        <v>18</v>
      </c>
      <c r="T1" s="1" t="s">
        <v>18</v>
      </c>
      <c r="U1" s="1" t="s">
        <v>19</v>
      </c>
      <c r="V1" s="1" t="s">
        <v>20</v>
      </c>
    </row>
    <row r="2" customHeight="1" spans="1:22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7">
        <v>250</v>
      </c>
      <c r="G2" s="7">
        <v>30</v>
      </c>
      <c r="H2" s="7">
        <v>5</v>
      </c>
      <c r="I2" s="11">
        <v>45662</v>
      </c>
      <c r="J2" s="6" t="s">
        <v>26</v>
      </c>
      <c r="K2" s="6" t="s">
        <v>27</v>
      </c>
      <c r="L2" s="12">
        <f>VALUE(G2)*VALUE(F2)</f>
        <v>7500</v>
      </c>
      <c r="M2" s="12">
        <f t="shared" ref="M2:M21" si="0">L2-(L2*H2/100)</f>
        <v>7125</v>
      </c>
      <c r="N2" s="2" t="str">
        <f t="shared" ref="N2:N21" si="1">IF(H2&gt;0,"Yes","No")</f>
        <v>Yes</v>
      </c>
      <c r="O2" s="2" t="str">
        <f t="shared" ref="O2:O21" si="2">B2&amp;" "&amp;C2</f>
        <v>John Doe</v>
      </c>
      <c r="P2" s="2" t="str">
        <f t="shared" ref="P2:P21" si="3">IF(AND(E2="Skin Care",G2&gt;15),"Priority","Standard")</f>
        <v>Standard</v>
      </c>
      <c r="Q2" s="2" t="str">
        <f t="shared" ref="Q2:Q21" si="4">"Min: "&amp;MIN(L2:L21)&amp;" | Max: "&amp;MAX(L2:L21)</f>
        <v>Min: 4000 | Max: 9000</v>
      </c>
      <c r="R2" s="2">
        <f t="shared" ref="R2:R21" si="5">COUNTIF(G2:G21,"&gt;30")</f>
        <v>5</v>
      </c>
      <c r="S2" s="2">
        <f t="shared" ref="S2:S21" si="6">SUMIF(E2:E21,"Hair Care",M2:M21)</f>
        <v>50605</v>
      </c>
      <c r="T2" s="2" t="str">
        <f t="shared" ref="T2:T21" si="7">"Hair Care: "&amp;SUMIF(E2:E21,"Hair Care",M2:M21)&amp;", Skin Care: "&amp;SUMIF(E2:E21,"Skin Care",M2:M21)&amp;", Body Care: "&amp;SUMIF(E2:E21,"Body Care",M2:M21)</f>
        <v>Hair Care: 50605, Skin Care: 43397, Body Care: 28167.5</v>
      </c>
      <c r="U2" s="2" t="str">
        <f t="shared" ref="U2:U21" si="8">"Aisha: "&amp;IFERROR(ROUND(AVERAGEIF(K2:K21,"Aisha",H2:H21),2),0)&amp;"%, Rafi: "&amp;IFERROR(ROUND(AVERAGEIF(K2:K21,"Rafi",H2:H21),2),0)&amp;"%, Mehnaz: "&amp;IFERROR(ROUND(AVERAGEIF(K2:K21,"Mehnaz",H2:H21),2),0)&amp;"%, Tariq: "&amp;IFERROR(ROUND(AVERAGEIF(K2:K21,"Tariq",H2:H21),2),0)&amp;"%"</f>
        <v>Aisha: 5%, Rafi: 3.75%, Mehnaz: 2.5%, Tariq: 7.8%</v>
      </c>
      <c r="V2" s="2" t="str">
        <f t="shared" ref="V2:V21" si="9">"Dhaka: "&amp;COUNTIF(J2:J21,"Dhaka")&amp;", Chittagong: "&amp;COUNTIF(J2:J21,"Chittagong")&amp;", Sylhet: "&amp;COUNTIF(J2:J21,"Sylhet")&amp;", Khulna: "&amp;COUNTIF(J2:J21,"Khulna")</f>
        <v>Dhaka: 7, Chittagong: 4, Sylhet: 5, Khulna: 4</v>
      </c>
    </row>
    <row r="3" customHeight="1" spans="1:22">
      <c r="A3" s="6" t="s">
        <v>28</v>
      </c>
      <c r="B3" s="6" t="s">
        <v>29</v>
      </c>
      <c r="C3" s="6" t="s">
        <v>30</v>
      </c>
      <c r="D3" s="6" t="s">
        <v>31</v>
      </c>
      <c r="E3" s="6" t="s">
        <v>25</v>
      </c>
      <c r="F3" s="7">
        <v>300</v>
      </c>
      <c r="G3" s="7">
        <v>15</v>
      </c>
      <c r="H3" s="7">
        <v>10</v>
      </c>
      <c r="I3" s="11">
        <v>45664</v>
      </c>
      <c r="J3" s="6" t="s">
        <v>32</v>
      </c>
      <c r="K3" s="6" t="s">
        <v>33</v>
      </c>
      <c r="L3" s="12">
        <f t="shared" ref="L2:L21" si="10">VALUE(G3)*VALUE(F3)</f>
        <v>4500</v>
      </c>
      <c r="M3" s="12">
        <f t="shared" si="0"/>
        <v>4050</v>
      </c>
      <c r="N3" s="2" t="str">
        <f t="shared" si="1"/>
        <v>Yes</v>
      </c>
      <c r="O3" s="2" t="str">
        <f t="shared" si="2"/>
        <v>Mary Smith</v>
      </c>
      <c r="P3" s="2" t="str">
        <f t="shared" si="3"/>
        <v>Standard</v>
      </c>
      <c r="Q3" s="2" t="str">
        <f t="shared" si="4"/>
        <v>Min: 4000 | Max: 9000</v>
      </c>
      <c r="R3" s="2">
        <f t="shared" si="5"/>
        <v>5</v>
      </c>
      <c r="S3" s="2">
        <f t="shared" si="6"/>
        <v>43480</v>
      </c>
      <c r="T3" s="2" t="str">
        <f t="shared" si="7"/>
        <v>Hair Care: 43480, Skin Care: 43397, Body Care: 28167.5</v>
      </c>
      <c r="U3" s="2" t="str">
        <f t="shared" si="8"/>
        <v>Aisha: 5%, Rafi: 3.75%, Mehnaz: 2.5%, Tariq: 7.8%</v>
      </c>
      <c r="V3" s="2" t="str">
        <f t="shared" si="9"/>
        <v>Dhaka: 6, Chittagong: 4, Sylhet: 5, Khulna: 4</v>
      </c>
    </row>
    <row r="4" customHeight="1" spans="1:22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7">
        <v>180</v>
      </c>
      <c r="G4" s="7">
        <v>40</v>
      </c>
      <c r="H4" s="7">
        <v>0</v>
      </c>
      <c r="I4" s="11">
        <v>45666</v>
      </c>
      <c r="J4" s="6" t="s">
        <v>26</v>
      </c>
      <c r="K4" s="6" t="s">
        <v>39</v>
      </c>
      <c r="L4" s="12">
        <f t="shared" si="10"/>
        <v>7200</v>
      </c>
      <c r="M4" s="12">
        <f t="shared" si="0"/>
        <v>7200</v>
      </c>
      <c r="N4" s="2" t="str">
        <f t="shared" si="1"/>
        <v>No</v>
      </c>
      <c r="O4" s="2" t="str">
        <f t="shared" si="2"/>
        <v>Ali Khan</v>
      </c>
      <c r="P4" s="2" t="str">
        <f t="shared" si="3"/>
        <v>Priority</v>
      </c>
      <c r="Q4" s="2" t="str">
        <f t="shared" si="4"/>
        <v>Min: 4000 | Max: 9000</v>
      </c>
      <c r="R4" s="2">
        <f t="shared" si="5"/>
        <v>5</v>
      </c>
      <c r="S4" s="2">
        <f t="shared" si="6"/>
        <v>39430</v>
      </c>
      <c r="T4" s="2" t="str">
        <f t="shared" si="7"/>
        <v>Hair Care: 39430, Skin Care: 43397, Body Care: 28167.5</v>
      </c>
      <c r="U4" s="2" t="str">
        <f t="shared" si="8"/>
        <v>Aisha: 5%, Rafi: 1.67%, Mehnaz: 2.5%, Tariq: 7.8%</v>
      </c>
      <c r="V4" s="2" t="str">
        <f t="shared" si="9"/>
        <v>Dhaka: 6, Chittagong: 3, Sylhet: 5, Khulna: 4</v>
      </c>
    </row>
    <row r="5" customHeight="1" spans="1:22">
      <c r="A5" s="6" t="s">
        <v>40</v>
      </c>
      <c r="B5" s="6" t="s">
        <v>41</v>
      </c>
      <c r="C5" s="6" t="s">
        <v>42</v>
      </c>
      <c r="D5" s="6" t="s">
        <v>43</v>
      </c>
      <c r="E5" s="6" t="s">
        <v>38</v>
      </c>
      <c r="F5" s="7">
        <v>400</v>
      </c>
      <c r="G5" s="7">
        <v>10</v>
      </c>
      <c r="H5" s="7">
        <v>8</v>
      </c>
      <c r="I5" s="13">
        <v>45667</v>
      </c>
      <c r="J5" s="6" t="s">
        <v>44</v>
      </c>
      <c r="K5" s="6" t="s">
        <v>45</v>
      </c>
      <c r="L5" s="12">
        <f t="shared" si="10"/>
        <v>4000</v>
      </c>
      <c r="M5" s="12">
        <f t="shared" si="0"/>
        <v>3680</v>
      </c>
      <c r="N5" s="2" t="str">
        <f t="shared" si="1"/>
        <v>Yes</v>
      </c>
      <c r="O5" s="2" t="str">
        <f t="shared" si="2"/>
        <v>Sara Lee</v>
      </c>
      <c r="P5" s="2" t="str">
        <f t="shared" si="3"/>
        <v>Standard</v>
      </c>
      <c r="Q5" s="2" t="str">
        <f t="shared" si="4"/>
        <v>Min: 4000 | Max: 9000</v>
      </c>
      <c r="R5" s="2">
        <f t="shared" si="5"/>
        <v>4</v>
      </c>
      <c r="S5" s="2">
        <f t="shared" si="6"/>
        <v>39430</v>
      </c>
      <c r="T5" s="2" t="str">
        <f t="shared" si="7"/>
        <v>Hair Care: 39430, Skin Care: 36197, Body Care: 28167.5</v>
      </c>
      <c r="U5" s="2" t="str">
        <f t="shared" si="8"/>
        <v>Aisha: 5%, Rafi: 1.67%, Mehnaz: 3.33%, Tariq: 7.8%</v>
      </c>
      <c r="V5" s="2" t="str">
        <f t="shared" si="9"/>
        <v>Dhaka: 5, Chittagong: 3, Sylhet: 5, Khulna: 4</v>
      </c>
    </row>
    <row r="6" customHeight="1" spans="1:22">
      <c r="A6" s="6" t="s">
        <v>46</v>
      </c>
      <c r="B6" s="6" t="s">
        <v>47</v>
      </c>
      <c r="C6" s="6" t="s">
        <v>48</v>
      </c>
      <c r="D6" s="6" t="s">
        <v>49</v>
      </c>
      <c r="E6" s="6" t="s">
        <v>50</v>
      </c>
      <c r="F6" s="7">
        <v>120</v>
      </c>
      <c r="G6" s="7">
        <v>60</v>
      </c>
      <c r="H6" s="7">
        <v>5</v>
      </c>
      <c r="I6" s="13">
        <v>45668</v>
      </c>
      <c r="J6" s="6" t="s">
        <v>51</v>
      </c>
      <c r="K6" s="6" t="s">
        <v>27</v>
      </c>
      <c r="L6" s="12">
        <f t="shared" si="10"/>
        <v>7200</v>
      </c>
      <c r="M6" s="12">
        <f t="shared" si="0"/>
        <v>6840</v>
      </c>
      <c r="N6" s="2" t="str">
        <f t="shared" si="1"/>
        <v>Yes</v>
      </c>
      <c r="O6" s="2" t="str">
        <f t="shared" si="2"/>
        <v>Tom Brown</v>
      </c>
      <c r="P6" s="2" t="str">
        <f t="shared" si="3"/>
        <v>Standard</v>
      </c>
      <c r="Q6" s="2" t="str">
        <f t="shared" si="4"/>
        <v>Min: 5000 | Max: 9000</v>
      </c>
      <c r="R6" s="2">
        <f t="shared" si="5"/>
        <v>4</v>
      </c>
      <c r="S6" s="2">
        <f t="shared" si="6"/>
        <v>39430</v>
      </c>
      <c r="T6" s="2" t="str">
        <f t="shared" si="7"/>
        <v>Hair Care: 39430, Skin Care: 32517, Body Care: 28167.5</v>
      </c>
      <c r="U6" s="2" t="str">
        <f t="shared" si="8"/>
        <v>Aisha: 5%, Rafi: 1.67%, Mehnaz: 3.33%, Tariq: 7.75%</v>
      </c>
      <c r="V6" s="2" t="str">
        <f t="shared" si="9"/>
        <v>Dhaka: 5, Chittagong: 3, Sylhet: 4, Khulna: 4</v>
      </c>
    </row>
    <row r="7" customHeight="1" spans="1:22">
      <c r="A7" s="6" t="s">
        <v>52</v>
      </c>
      <c r="B7" s="6" t="s">
        <v>53</v>
      </c>
      <c r="C7" s="6" t="s">
        <v>54</v>
      </c>
      <c r="D7" s="6" t="s">
        <v>55</v>
      </c>
      <c r="E7" s="6" t="s">
        <v>25</v>
      </c>
      <c r="F7" s="7">
        <v>220</v>
      </c>
      <c r="G7" s="7">
        <v>25</v>
      </c>
      <c r="H7" s="7">
        <v>0</v>
      </c>
      <c r="I7" s="13">
        <v>45669</v>
      </c>
      <c r="J7" s="6" t="s">
        <v>32</v>
      </c>
      <c r="K7" s="6" t="s">
        <v>33</v>
      </c>
      <c r="L7" s="12">
        <f t="shared" si="10"/>
        <v>5500</v>
      </c>
      <c r="M7" s="12">
        <f t="shared" si="0"/>
        <v>5500</v>
      </c>
      <c r="N7" s="2" t="str">
        <f t="shared" si="1"/>
        <v>No</v>
      </c>
      <c r="O7" s="2" t="str">
        <f t="shared" si="2"/>
        <v>Rina Das</v>
      </c>
      <c r="P7" s="2" t="str">
        <f t="shared" si="3"/>
        <v>Standard</v>
      </c>
      <c r="Q7" s="2" t="str">
        <f t="shared" si="4"/>
        <v>Min: 5000 | Max: 9000</v>
      </c>
      <c r="R7" s="2">
        <f t="shared" si="5"/>
        <v>3</v>
      </c>
      <c r="S7" s="2">
        <f t="shared" si="6"/>
        <v>39430</v>
      </c>
      <c r="T7" s="2" t="str">
        <f t="shared" si="7"/>
        <v>Hair Care: 39430, Skin Care: 32517, Body Care: 21327.5</v>
      </c>
      <c r="U7" s="2" t="str">
        <f t="shared" si="8"/>
        <v>Aisha: 5%, Rafi: 1.67%, Mehnaz: 3.33%, Tariq: 7.75%</v>
      </c>
      <c r="V7" s="2" t="str">
        <f t="shared" si="9"/>
        <v>Dhaka: 5, Chittagong: 3, Sylhet: 4, Khulna: 3</v>
      </c>
    </row>
    <row r="8" customHeight="1" spans="1:22">
      <c r="A8" s="6" t="s">
        <v>56</v>
      </c>
      <c r="B8" s="6" t="s">
        <v>57</v>
      </c>
      <c r="C8" s="6" t="s">
        <v>58</v>
      </c>
      <c r="D8" s="6" t="s">
        <v>59</v>
      </c>
      <c r="E8" s="6" t="s">
        <v>38</v>
      </c>
      <c r="F8" s="7">
        <v>500</v>
      </c>
      <c r="G8" s="7">
        <v>12</v>
      </c>
      <c r="H8" s="7">
        <v>10</v>
      </c>
      <c r="I8" s="13">
        <v>45670</v>
      </c>
      <c r="J8" s="6" t="s">
        <v>26</v>
      </c>
      <c r="K8" s="6" t="s">
        <v>39</v>
      </c>
      <c r="L8" s="12">
        <f t="shared" si="10"/>
        <v>6000</v>
      </c>
      <c r="M8" s="12">
        <f t="shared" si="0"/>
        <v>5400</v>
      </c>
      <c r="N8" s="2" t="str">
        <f t="shared" si="1"/>
        <v>Yes</v>
      </c>
      <c r="O8" s="2" t="str">
        <f t="shared" si="2"/>
        <v>Samir Roy</v>
      </c>
      <c r="P8" s="2" t="str">
        <f t="shared" si="3"/>
        <v>Standard</v>
      </c>
      <c r="Q8" s="2" t="str">
        <f t="shared" si="4"/>
        <v>Min: 5000 | Max: 9000</v>
      </c>
      <c r="R8" s="2">
        <f t="shared" si="5"/>
        <v>3</v>
      </c>
      <c r="S8" s="2">
        <f t="shared" si="6"/>
        <v>33930</v>
      </c>
      <c r="T8" s="2" t="str">
        <f t="shared" si="7"/>
        <v>Hair Care: 33930, Skin Care: 32517, Body Care: 21327.5</v>
      </c>
      <c r="U8" s="2" t="str">
        <f t="shared" si="8"/>
        <v>Aisha: 5%, Rafi: 2.5%, Mehnaz: 3.33%, Tariq: 7.75%</v>
      </c>
      <c r="V8" s="2" t="str">
        <f t="shared" si="9"/>
        <v>Dhaka: 5, Chittagong: 2, Sylhet: 4, Khulna: 3</v>
      </c>
    </row>
    <row r="9" customHeight="1" spans="1:22">
      <c r="A9" s="6" t="s">
        <v>60</v>
      </c>
      <c r="B9" s="6" t="s">
        <v>61</v>
      </c>
      <c r="C9" s="6" t="s">
        <v>62</v>
      </c>
      <c r="D9" s="6" t="s">
        <v>63</v>
      </c>
      <c r="E9" s="6" t="s">
        <v>38</v>
      </c>
      <c r="F9" s="7">
        <v>350</v>
      </c>
      <c r="G9" s="7">
        <v>18</v>
      </c>
      <c r="H9" s="7">
        <v>5</v>
      </c>
      <c r="I9" s="13">
        <v>45671</v>
      </c>
      <c r="J9" s="6" t="s">
        <v>44</v>
      </c>
      <c r="K9" s="6" t="s">
        <v>45</v>
      </c>
      <c r="L9" s="12">
        <f t="shared" si="10"/>
        <v>6300</v>
      </c>
      <c r="M9" s="12">
        <f t="shared" si="0"/>
        <v>5985</v>
      </c>
      <c r="N9" s="2" t="str">
        <f t="shared" si="1"/>
        <v>Yes</v>
      </c>
      <c r="O9" s="2" t="str">
        <f t="shared" si="2"/>
        <v>Nadia Karim</v>
      </c>
      <c r="P9" s="2" t="str">
        <f t="shared" si="3"/>
        <v>Priority</v>
      </c>
      <c r="Q9" s="2" t="str">
        <f t="shared" si="4"/>
        <v>Min: 5000 | Max: 9000</v>
      </c>
      <c r="R9" s="2">
        <f t="shared" si="5"/>
        <v>3</v>
      </c>
      <c r="S9" s="2">
        <f t="shared" si="6"/>
        <v>33930</v>
      </c>
      <c r="T9" s="2" t="str">
        <f t="shared" si="7"/>
        <v>Hair Care: 33930, Skin Care: 27117, Body Care: 21327.5</v>
      </c>
      <c r="U9" s="2" t="str">
        <f t="shared" si="8"/>
        <v>Aisha: 5%, Rafi: 2.5%, Mehnaz: 0%, Tariq: 7.75%</v>
      </c>
      <c r="V9" s="2" t="str">
        <f t="shared" si="9"/>
        <v>Dhaka: 4, Chittagong: 2, Sylhet: 4, Khulna: 3</v>
      </c>
    </row>
    <row r="10" customHeight="1" spans="1:22">
      <c r="A10" s="6" t="s">
        <v>64</v>
      </c>
      <c r="B10" s="6" t="s">
        <v>65</v>
      </c>
      <c r="C10" s="6" t="s">
        <v>66</v>
      </c>
      <c r="D10" s="6" t="s">
        <v>67</v>
      </c>
      <c r="E10" s="6" t="s">
        <v>25</v>
      </c>
      <c r="F10" s="7">
        <v>450</v>
      </c>
      <c r="G10" s="7">
        <v>20</v>
      </c>
      <c r="H10" s="7">
        <v>10</v>
      </c>
      <c r="I10" s="13">
        <v>45672</v>
      </c>
      <c r="J10" s="6" t="s">
        <v>26</v>
      </c>
      <c r="K10" s="6" t="s">
        <v>27</v>
      </c>
      <c r="L10" s="12">
        <f t="shared" si="10"/>
        <v>9000</v>
      </c>
      <c r="M10" s="12">
        <f t="shared" si="0"/>
        <v>8100</v>
      </c>
      <c r="N10" s="2" t="str">
        <f t="shared" si="1"/>
        <v>Yes</v>
      </c>
      <c r="O10" s="2" t="str">
        <f t="shared" si="2"/>
        <v>Arif Hossain</v>
      </c>
      <c r="P10" s="2" t="str">
        <f t="shared" si="3"/>
        <v>Standard</v>
      </c>
      <c r="Q10" s="2" t="str">
        <f t="shared" si="4"/>
        <v>Min: 5000 | Max: 9000</v>
      </c>
      <c r="R10" s="2">
        <f t="shared" si="5"/>
        <v>3</v>
      </c>
      <c r="S10" s="2">
        <f t="shared" si="6"/>
        <v>33930</v>
      </c>
      <c r="T10" s="2" t="str">
        <f t="shared" si="7"/>
        <v>Hair Care: 33930, Skin Care: 21132, Body Care: 21327.5</v>
      </c>
      <c r="U10" s="2" t="str">
        <f t="shared" si="8"/>
        <v>Aisha: 5%, Rafi: 2.5%, Mehnaz: 0%, Tariq: 8.67%</v>
      </c>
      <c r="V10" s="2" t="str">
        <f t="shared" si="9"/>
        <v>Dhaka: 4, Chittagong: 2, Sylhet: 3, Khulna: 3</v>
      </c>
    </row>
    <row r="11" customHeight="1" spans="1:22">
      <c r="A11" s="6" t="s">
        <v>68</v>
      </c>
      <c r="B11" s="6" t="s">
        <v>69</v>
      </c>
      <c r="C11" s="6" t="s">
        <v>70</v>
      </c>
      <c r="D11" s="6" t="s">
        <v>71</v>
      </c>
      <c r="E11" s="6" t="s">
        <v>25</v>
      </c>
      <c r="F11" s="7">
        <v>350</v>
      </c>
      <c r="G11" s="7">
        <v>22</v>
      </c>
      <c r="H11" s="7">
        <v>0</v>
      </c>
      <c r="I11" s="13">
        <v>45673</v>
      </c>
      <c r="J11" s="6" t="s">
        <v>32</v>
      </c>
      <c r="K11" s="6" t="s">
        <v>33</v>
      </c>
      <c r="L11" s="12">
        <f t="shared" si="10"/>
        <v>7700</v>
      </c>
      <c r="M11" s="12">
        <f t="shared" si="0"/>
        <v>7700</v>
      </c>
      <c r="N11" s="2" t="str">
        <f t="shared" si="1"/>
        <v>No</v>
      </c>
      <c r="O11" s="2" t="str">
        <f t="shared" si="2"/>
        <v>Laila Ahmed</v>
      </c>
      <c r="P11" s="2" t="str">
        <f t="shared" si="3"/>
        <v>Standard</v>
      </c>
      <c r="Q11" s="2" t="str">
        <f t="shared" si="4"/>
        <v>Min: 5000 | Max: 8250</v>
      </c>
      <c r="R11" s="2">
        <f t="shared" si="5"/>
        <v>3</v>
      </c>
      <c r="S11" s="2">
        <f t="shared" si="6"/>
        <v>25830</v>
      </c>
      <c r="T11" s="2" t="str">
        <f t="shared" si="7"/>
        <v>Hair Care: 25830, Skin Care: 21132, Body Care: 21327.5</v>
      </c>
      <c r="U11" s="2" t="str">
        <f t="shared" si="8"/>
        <v>Aisha: 3.75%, Rafi: 2.5%, Mehnaz: 0%, Tariq: 8.67%</v>
      </c>
      <c r="V11" s="2" t="str">
        <f t="shared" si="9"/>
        <v>Dhaka: 3, Chittagong: 2, Sylhet: 3, Khulna: 3</v>
      </c>
    </row>
    <row r="12" customHeight="1" spans="1:22">
      <c r="A12" s="6" t="s">
        <v>72</v>
      </c>
      <c r="B12" s="6" t="s">
        <v>73</v>
      </c>
      <c r="C12" s="6" t="s">
        <v>74</v>
      </c>
      <c r="D12" s="6" t="s">
        <v>75</v>
      </c>
      <c r="E12" s="6" t="s">
        <v>50</v>
      </c>
      <c r="F12" s="7">
        <v>200</v>
      </c>
      <c r="G12" s="7">
        <v>35</v>
      </c>
      <c r="H12" s="7">
        <v>5</v>
      </c>
      <c r="I12" s="13">
        <v>45674</v>
      </c>
      <c r="J12" s="6" t="s">
        <v>51</v>
      </c>
      <c r="K12" s="6" t="s">
        <v>27</v>
      </c>
      <c r="L12" s="12">
        <f t="shared" si="10"/>
        <v>7000</v>
      </c>
      <c r="M12" s="12">
        <f t="shared" si="0"/>
        <v>6650</v>
      </c>
      <c r="N12" s="2" t="str">
        <f t="shared" si="1"/>
        <v>Yes</v>
      </c>
      <c r="O12" s="2" t="str">
        <f t="shared" si="2"/>
        <v>Kamal Uddin</v>
      </c>
      <c r="P12" s="2" t="str">
        <f t="shared" si="3"/>
        <v>Standard</v>
      </c>
      <c r="Q12" s="2" t="str">
        <f t="shared" si="4"/>
        <v>Min: 5000 | Max: 8250</v>
      </c>
      <c r="R12" s="2">
        <f t="shared" si="5"/>
        <v>3</v>
      </c>
      <c r="S12" s="2">
        <f t="shared" si="6"/>
        <v>18130</v>
      </c>
      <c r="T12" s="2" t="str">
        <f t="shared" si="7"/>
        <v>Hair Care: 18130, Skin Care: 21132, Body Care: 21327.5</v>
      </c>
      <c r="U12" s="2" t="str">
        <f t="shared" si="8"/>
        <v>Aisha: 3.75%, Rafi: 5%, Mehnaz: 0%, Tariq: 8.67%</v>
      </c>
      <c r="V12" s="2" t="str">
        <f t="shared" si="9"/>
        <v>Dhaka: 3, Chittagong: 1, Sylhet: 3, Khulna: 3</v>
      </c>
    </row>
    <row r="13" customHeight="1" spans="1:22">
      <c r="A13" s="6" t="s">
        <v>76</v>
      </c>
      <c r="B13" s="6" t="s">
        <v>77</v>
      </c>
      <c r="C13" s="6" t="s">
        <v>78</v>
      </c>
      <c r="D13" s="6" t="s">
        <v>79</v>
      </c>
      <c r="E13" s="6" t="s">
        <v>38</v>
      </c>
      <c r="F13" s="7">
        <v>400</v>
      </c>
      <c r="G13" s="7">
        <v>15</v>
      </c>
      <c r="H13" s="7">
        <v>8</v>
      </c>
      <c r="I13" s="13">
        <v>45675</v>
      </c>
      <c r="J13" s="6" t="s">
        <v>44</v>
      </c>
      <c r="K13" s="6" t="s">
        <v>45</v>
      </c>
      <c r="L13" s="12">
        <f t="shared" si="10"/>
        <v>6000</v>
      </c>
      <c r="M13" s="12">
        <f t="shared" si="0"/>
        <v>5520</v>
      </c>
      <c r="N13" s="2" t="str">
        <f t="shared" si="1"/>
        <v>Yes</v>
      </c>
      <c r="O13" s="2" t="str">
        <f t="shared" si="2"/>
        <v>Minu Rahman</v>
      </c>
      <c r="P13" s="2" t="str">
        <f t="shared" si="3"/>
        <v>Standard</v>
      </c>
      <c r="Q13" s="2" t="str">
        <f t="shared" si="4"/>
        <v>Min: 5000 | Max: 8250</v>
      </c>
      <c r="R13" s="2">
        <f t="shared" si="5"/>
        <v>2</v>
      </c>
      <c r="S13" s="2">
        <f t="shared" si="6"/>
        <v>18130</v>
      </c>
      <c r="T13" s="2" t="str">
        <f t="shared" si="7"/>
        <v>Hair Care: 18130, Skin Care: 21132, Body Care: 14677.5</v>
      </c>
      <c r="U13" s="2" t="str">
        <f t="shared" si="8"/>
        <v>Aisha: 3.33%, Rafi: 5%, Mehnaz: 0%, Tariq: 8.67%</v>
      </c>
      <c r="V13" s="2" t="str">
        <f t="shared" si="9"/>
        <v>Dhaka: 3, Chittagong: 1, Sylhet: 3, Khulna: 2</v>
      </c>
    </row>
    <row r="14" customHeight="1" spans="1:22">
      <c r="A14" s="6" t="s">
        <v>80</v>
      </c>
      <c r="B14" s="6" t="s">
        <v>81</v>
      </c>
      <c r="C14" s="6" t="s">
        <v>35</v>
      </c>
      <c r="D14" s="6" t="s">
        <v>82</v>
      </c>
      <c r="E14" s="6" t="s">
        <v>25</v>
      </c>
      <c r="F14" s="7">
        <v>500</v>
      </c>
      <c r="G14" s="7">
        <v>10</v>
      </c>
      <c r="H14" s="7">
        <v>0</v>
      </c>
      <c r="I14" s="13">
        <v>45676</v>
      </c>
      <c r="J14" s="6" t="s">
        <v>26</v>
      </c>
      <c r="K14" s="6" t="s">
        <v>39</v>
      </c>
      <c r="L14" s="12">
        <f t="shared" si="10"/>
        <v>5000</v>
      </c>
      <c r="M14" s="12">
        <f t="shared" si="0"/>
        <v>5000</v>
      </c>
      <c r="N14" s="2" t="str">
        <f t="shared" si="1"/>
        <v>No</v>
      </c>
      <c r="O14" s="2" t="str">
        <f t="shared" si="2"/>
        <v>Hasan Ali</v>
      </c>
      <c r="P14" s="2" t="str">
        <f t="shared" si="3"/>
        <v>Standard</v>
      </c>
      <c r="Q14" s="2" t="str">
        <f t="shared" si="4"/>
        <v>Min: 5000 | Max: 8250</v>
      </c>
      <c r="R14" s="2">
        <f t="shared" si="5"/>
        <v>2</v>
      </c>
      <c r="S14" s="2">
        <f t="shared" si="6"/>
        <v>18130</v>
      </c>
      <c r="T14" s="2" t="str">
        <f t="shared" si="7"/>
        <v>Hair Care: 18130, Skin Care: 15612, Body Care: 14677.5</v>
      </c>
      <c r="U14" s="2" t="str">
        <f t="shared" si="8"/>
        <v>Aisha: 3.33%, Rafi: 5%, Mehnaz: 0%, Tariq: 9%</v>
      </c>
      <c r="V14" s="2" t="str">
        <f t="shared" si="9"/>
        <v>Dhaka: 3, Chittagong: 1, Sylhet: 2, Khulna: 2</v>
      </c>
    </row>
    <row r="15" customHeight="1" spans="1:22">
      <c r="A15" s="6" t="s">
        <v>83</v>
      </c>
      <c r="B15" s="6" t="s">
        <v>84</v>
      </c>
      <c r="C15" s="6" t="s">
        <v>85</v>
      </c>
      <c r="D15" s="6" t="s">
        <v>86</v>
      </c>
      <c r="E15" s="6" t="s">
        <v>50</v>
      </c>
      <c r="F15" s="7">
        <v>150</v>
      </c>
      <c r="G15" s="7">
        <v>55</v>
      </c>
      <c r="H15" s="7">
        <v>5</v>
      </c>
      <c r="I15" s="13">
        <v>45677</v>
      </c>
      <c r="J15" s="6" t="s">
        <v>51</v>
      </c>
      <c r="K15" s="6" t="s">
        <v>27</v>
      </c>
      <c r="L15" s="12">
        <f t="shared" si="10"/>
        <v>8250</v>
      </c>
      <c r="M15" s="12">
        <f t="shared" si="0"/>
        <v>7837.5</v>
      </c>
      <c r="N15" s="2" t="str">
        <f t="shared" si="1"/>
        <v>Yes</v>
      </c>
      <c r="O15" s="2" t="str">
        <f t="shared" si="2"/>
        <v>Farhana Islam</v>
      </c>
      <c r="P15" s="2" t="str">
        <f t="shared" si="3"/>
        <v>Standard</v>
      </c>
      <c r="Q15" s="2" t="str">
        <f t="shared" si="4"/>
        <v>Min: 5400 | Max: 8250</v>
      </c>
      <c r="R15" s="2">
        <f t="shared" si="5"/>
        <v>2</v>
      </c>
      <c r="S15" s="2">
        <f t="shared" si="6"/>
        <v>13130</v>
      </c>
      <c r="T15" s="2" t="str">
        <f t="shared" si="7"/>
        <v>Hair Care: 13130, Skin Care: 15612, Body Care: 14677.5</v>
      </c>
      <c r="U15" s="2" t="str">
        <f t="shared" si="8"/>
        <v>Aisha: 3.33%, Rafi: 5%, Mehnaz: 0%, Tariq: 9%</v>
      </c>
      <c r="V15" s="2" t="str">
        <f t="shared" si="9"/>
        <v>Dhaka: 2, Chittagong: 1, Sylhet: 2, Khulna: 2</v>
      </c>
    </row>
    <row r="16" customHeight="1" spans="1:22">
      <c r="A16" s="6" t="s">
        <v>87</v>
      </c>
      <c r="B16" s="6" t="s">
        <v>88</v>
      </c>
      <c r="C16" s="6" t="s">
        <v>36</v>
      </c>
      <c r="D16" s="6" t="s">
        <v>89</v>
      </c>
      <c r="E16" s="6" t="s">
        <v>38</v>
      </c>
      <c r="F16" s="7">
        <v>200</v>
      </c>
      <c r="G16" s="7">
        <v>28</v>
      </c>
      <c r="H16" s="7">
        <v>0</v>
      </c>
      <c r="I16" s="13">
        <v>45678</v>
      </c>
      <c r="J16" s="6" t="s">
        <v>26</v>
      </c>
      <c r="K16" s="6" t="s">
        <v>39</v>
      </c>
      <c r="L16" s="12">
        <f t="shared" si="10"/>
        <v>5600</v>
      </c>
      <c r="M16" s="12">
        <f t="shared" si="0"/>
        <v>5600</v>
      </c>
      <c r="N16" s="2" t="str">
        <f t="shared" si="1"/>
        <v>No</v>
      </c>
      <c r="O16" s="2" t="str">
        <f t="shared" si="2"/>
        <v>Rafiq Khan</v>
      </c>
      <c r="P16" s="2" t="str">
        <f t="shared" si="3"/>
        <v>Priority</v>
      </c>
      <c r="Q16" s="2" t="str">
        <f t="shared" si="4"/>
        <v>Min: 5400 | Max: 8000</v>
      </c>
      <c r="R16" s="2">
        <f t="shared" si="5"/>
        <v>1</v>
      </c>
      <c r="S16" s="2">
        <f t="shared" si="6"/>
        <v>13130</v>
      </c>
      <c r="T16" s="2" t="str">
        <f t="shared" si="7"/>
        <v>Hair Care: 13130, Skin Care: 15612, Body Care: 6840</v>
      </c>
      <c r="U16" s="2" t="str">
        <f t="shared" si="8"/>
        <v>Aisha: 2.5%, Rafi: 5%, Mehnaz: 0%, Tariq: 9%</v>
      </c>
      <c r="V16" s="2" t="str">
        <f t="shared" si="9"/>
        <v>Dhaka: 2, Chittagong: 1, Sylhet: 2, Khulna: 1</v>
      </c>
    </row>
    <row r="17" customHeight="1" spans="1:22">
      <c r="A17" s="6" t="s">
        <v>90</v>
      </c>
      <c r="B17" s="6" t="s">
        <v>91</v>
      </c>
      <c r="C17" s="6" t="s">
        <v>92</v>
      </c>
      <c r="D17" s="6" t="s">
        <v>93</v>
      </c>
      <c r="E17" s="6" t="s">
        <v>38</v>
      </c>
      <c r="F17" s="7">
        <v>450</v>
      </c>
      <c r="G17" s="7">
        <v>12</v>
      </c>
      <c r="H17" s="7">
        <v>10</v>
      </c>
      <c r="I17" s="13">
        <v>45679</v>
      </c>
      <c r="J17" s="6" t="s">
        <v>44</v>
      </c>
      <c r="K17" s="6" t="s">
        <v>45</v>
      </c>
      <c r="L17" s="12">
        <f t="shared" si="10"/>
        <v>5400</v>
      </c>
      <c r="M17" s="12">
        <f t="shared" si="0"/>
        <v>4860</v>
      </c>
      <c r="N17" s="2" t="str">
        <f t="shared" si="1"/>
        <v>Yes</v>
      </c>
      <c r="O17" s="2" t="str">
        <f t="shared" si="2"/>
        <v>Saba Noor</v>
      </c>
      <c r="P17" s="2" t="str">
        <f t="shared" si="3"/>
        <v>Standard</v>
      </c>
      <c r="Q17" s="2" t="str">
        <f t="shared" si="4"/>
        <v>Min: 5400 | Max: 8000</v>
      </c>
      <c r="R17" s="2">
        <f t="shared" si="5"/>
        <v>1</v>
      </c>
      <c r="S17" s="2">
        <f t="shared" si="6"/>
        <v>13130</v>
      </c>
      <c r="T17" s="2" t="str">
        <f t="shared" si="7"/>
        <v>Hair Care: 13130, Skin Care: 10012, Body Care: 6840</v>
      </c>
      <c r="U17" s="2" t="str">
        <f t="shared" si="8"/>
        <v>Aisha: 2.5%, Rafi: 5%, Mehnaz: 0%, Tariq: 9%</v>
      </c>
      <c r="V17" s="2" t="str">
        <f t="shared" si="9"/>
        <v>Dhaka: 1, Chittagong: 1, Sylhet: 2, Khulna: 1</v>
      </c>
    </row>
    <row r="18" customHeight="1" spans="1:22">
      <c r="A18" s="6" t="s">
        <v>94</v>
      </c>
      <c r="B18" s="6" t="s">
        <v>95</v>
      </c>
      <c r="C18" s="6" t="s">
        <v>78</v>
      </c>
      <c r="D18" s="6" t="s">
        <v>96</v>
      </c>
      <c r="E18" s="6" t="s">
        <v>25</v>
      </c>
      <c r="F18" s="7">
        <v>300</v>
      </c>
      <c r="G18" s="7">
        <v>18</v>
      </c>
      <c r="H18" s="7">
        <v>5</v>
      </c>
      <c r="I18" s="13">
        <v>45680</v>
      </c>
      <c r="J18" s="6" t="s">
        <v>32</v>
      </c>
      <c r="K18" s="6" t="s">
        <v>33</v>
      </c>
      <c r="L18" s="12">
        <f t="shared" si="10"/>
        <v>5400</v>
      </c>
      <c r="M18" s="12">
        <f t="shared" si="0"/>
        <v>5130</v>
      </c>
      <c r="N18" s="2" t="str">
        <f t="shared" si="1"/>
        <v>Yes</v>
      </c>
      <c r="O18" s="2" t="str">
        <f t="shared" si="2"/>
        <v>Tanvir Rahman</v>
      </c>
      <c r="P18" s="2" t="str">
        <f t="shared" si="3"/>
        <v>Standard</v>
      </c>
      <c r="Q18" s="2" t="str">
        <f t="shared" si="4"/>
        <v>Min: 5400 | Max: 8000</v>
      </c>
      <c r="R18" s="2">
        <f t="shared" si="5"/>
        <v>1</v>
      </c>
      <c r="S18" s="2">
        <f t="shared" si="6"/>
        <v>13130</v>
      </c>
      <c r="T18" s="2" t="str">
        <f t="shared" si="7"/>
        <v>Hair Care: 13130, Skin Care: 5152, Body Care: 6840</v>
      </c>
      <c r="U18" s="2" t="str">
        <f t="shared" si="8"/>
        <v>Aisha: 2.5%, Rafi: 5%, Mehnaz: 0%, Tariq: 8%</v>
      </c>
      <c r="V18" s="2" t="str">
        <f t="shared" si="9"/>
        <v>Dhaka: 1, Chittagong: 1, Sylhet: 1, Khulna: 1</v>
      </c>
    </row>
    <row r="19" customHeight="1" spans="1:22">
      <c r="A19" s="6" t="s">
        <v>97</v>
      </c>
      <c r="B19" s="6" t="s">
        <v>98</v>
      </c>
      <c r="C19" s="6" t="s">
        <v>99</v>
      </c>
      <c r="D19" s="6" t="s">
        <v>100</v>
      </c>
      <c r="E19" s="6" t="s">
        <v>25</v>
      </c>
      <c r="F19" s="7">
        <v>320</v>
      </c>
      <c r="G19" s="7">
        <v>25</v>
      </c>
      <c r="H19" s="7">
        <v>0</v>
      </c>
      <c r="I19" s="13">
        <v>45681</v>
      </c>
      <c r="J19" s="6" t="s">
        <v>26</v>
      </c>
      <c r="K19" s="6" t="s">
        <v>27</v>
      </c>
      <c r="L19" s="12">
        <f t="shared" si="10"/>
        <v>8000</v>
      </c>
      <c r="M19" s="12">
        <f t="shared" si="0"/>
        <v>8000</v>
      </c>
      <c r="N19" s="2" t="str">
        <f t="shared" si="1"/>
        <v>No</v>
      </c>
      <c r="O19" s="2" t="str">
        <f t="shared" si="2"/>
        <v>Nabila Chowdhury</v>
      </c>
      <c r="P19" s="2" t="str">
        <f t="shared" si="3"/>
        <v>Standard</v>
      </c>
      <c r="Q19" s="2" t="str">
        <f t="shared" si="4"/>
        <v>Min: 5600 | Max: 8000</v>
      </c>
      <c r="R19" s="2">
        <f t="shared" si="5"/>
        <v>1</v>
      </c>
      <c r="S19" s="2">
        <f t="shared" si="6"/>
        <v>8000</v>
      </c>
      <c r="T19" s="2" t="str">
        <f t="shared" si="7"/>
        <v>Hair Care: 8000, Skin Care: 5152, Body Care: 6840</v>
      </c>
      <c r="U19" s="2" t="str">
        <f t="shared" si="8"/>
        <v>Aisha: 2.5%, Rafi: 0%, Mehnaz: 0%, Tariq: 8%</v>
      </c>
      <c r="V19" s="2" t="str">
        <f t="shared" si="9"/>
        <v>Dhaka: 1, Chittagong: 0, Sylhet: 1, Khulna: 1</v>
      </c>
    </row>
    <row r="20" customHeight="1" spans="1:22">
      <c r="A20" s="6" t="s">
        <v>101</v>
      </c>
      <c r="B20" s="6" t="s">
        <v>102</v>
      </c>
      <c r="C20" s="6" t="s">
        <v>66</v>
      </c>
      <c r="D20" s="6" t="s">
        <v>103</v>
      </c>
      <c r="E20" s="6" t="s">
        <v>38</v>
      </c>
      <c r="F20" s="7">
        <v>400</v>
      </c>
      <c r="G20" s="7">
        <v>14</v>
      </c>
      <c r="H20" s="7">
        <v>8</v>
      </c>
      <c r="I20" s="13">
        <v>45682</v>
      </c>
      <c r="J20" s="6" t="s">
        <v>44</v>
      </c>
      <c r="K20" s="6" t="s">
        <v>45</v>
      </c>
      <c r="L20" s="12">
        <f t="shared" si="10"/>
        <v>5600</v>
      </c>
      <c r="M20" s="12">
        <f t="shared" si="0"/>
        <v>5152</v>
      </c>
      <c r="N20" s="2" t="str">
        <f t="shared" si="1"/>
        <v>Yes</v>
      </c>
      <c r="O20" s="2" t="str">
        <f t="shared" si="2"/>
        <v>Iqbal Hossain</v>
      </c>
      <c r="P20" s="2" t="str">
        <f t="shared" si="3"/>
        <v>Standard</v>
      </c>
      <c r="Q20" s="2" t="str">
        <f t="shared" si="4"/>
        <v>Min: 5600 | Max: 7200</v>
      </c>
      <c r="R20" s="2">
        <f t="shared" si="5"/>
        <v>1</v>
      </c>
      <c r="S20" s="2">
        <f t="shared" si="6"/>
        <v>0</v>
      </c>
      <c r="T20" s="2" t="str">
        <f t="shared" si="7"/>
        <v>Hair Care: 0, Skin Care: 5152, Body Care: 6840</v>
      </c>
      <c r="U20" s="2" t="str">
        <f t="shared" si="8"/>
        <v>Aisha: 5%, Rafi: 0%, Mehnaz: 0%, Tariq: 8%</v>
      </c>
      <c r="V20" s="2" t="str">
        <f t="shared" si="9"/>
        <v>Dhaka: 0, Chittagong: 0, Sylhet: 1, Khulna: 1</v>
      </c>
    </row>
    <row r="21" customHeight="1" spans="1:22">
      <c r="A21" s="6" t="s">
        <v>104</v>
      </c>
      <c r="B21" s="6" t="s">
        <v>105</v>
      </c>
      <c r="C21" s="6" t="s">
        <v>36</v>
      </c>
      <c r="D21" s="6" t="s">
        <v>106</v>
      </c>
      <c r="E21" s="6" t="s">
        <v>50</v>
      </c>
      <c r="F21" s="7">
        <v>180</v>
      </c>
      <c r="G21" s="7">
        <v>40</v>
      </c>
      <c r="H21" s="7">
        <v>5</v>
      </c>
      <c r="I21" s="13">
        <v>45683</v>
      </c>
      <c r="J21" s="6" t="s">
        <v>51</v>
      </c>
      <c r="K21" s="6" t="s">
        <v>27</v>
      </c>
      <c r="L21" s="12">
        <f t="shared" si="10"/>
        <v>7200</v>
      </c>
      <c r="M21" s="12">
        <f t="shared" si="0"/>
        <v>6840</v>
      </c>
      <c r="N21" s="2" t="str">
        <f t="shared" si="1"/>
        <v>Yes</v>
      </c>
      <c r="O21" s="2" t="str">
        <f t="shared" si="2"/>
        <v>Sabrina Khan</v>
      </c>
      <c r="P21" s="2" t="str">
        <f t="shared" si="3"/>
        <v>Standard</v>
      </c>
      <c r="Q21" s="2" t="str">
        <f t="shared" si="4"/>
        <v>Min: 7200 | Max: 7200</v>
      </c>
      <c r="R21" s="2">
        <f t="shared" si="5"/>
        <v>1</v>
      </c>
      <c r="S21" s="2">
        <f t="shared" si="6"/>
        <v>0</v>
      </c>
      <c r="T21" s="2" t="str">
        <f t="shared" si="7"/>
        <v>Hair Care: 0, Skin Care: 0, Body Care: 6840</v>
      </c>
      <c r="U21" s="2" t="str">
        <f t="shared" si="8"/>
        <v>Aisha: 5%, Rafi: 0%, Mehnaz: 0%, Tariq: 0%</v>
      </c>
      <c r="V21" s="2" t="str">
        <f t="shared" si="9"/>
        <v>Dhaka: 0, Chittagong: 0, Sylhet: 0, Khulna: 1</v>
      </c>
    </row>
    <row r="22" customHeight="1" spans="12:13">
      <c r="L22" s="14"/>
      <c r="M22" s="14"/>
    </row>
    <row r="23" customHeight="1" spans="12:13">
      <c r="L23" s="14"/>
      <c r="M23" s="14"/>
    </row>
    <row r="24" ht="12.5" spans="12:13">
      <c r="L24" s="14"/>
      <c r="M24" s="14"/>
    </row>
    <row r="25" ht="12.5" spans="12:13">
      <c r="L25" s="14"/>
      <c r="M25" s="14"/>
    </row>
    <row r="26" ht="12.5" spans="12:13">
      <c r="L26" s="14"/>
      <c r="M26" s="14"/>
    </row>
    <row r="27" ht="12.5" spans="12:13">
      <c r="L27" s="14"/>
      <c r="M27" s="14"/>
    </row>
    <row r="28" ht="12.5" spans="12:13">
      <c r="L28" s="14"/>
      <c r="M28" s="14"/>
    </row>
    <row r="29" ht="12.5" spans="12:13">
      <c r="L29" s="14"/>
      <c r="M29" s="14"/>
    </row>
    <row r="30" ht="12.5" spans="12:13">
      <c r="L30" s="14"/>
      <c r="M30" s="14"/>
    </row>
    <row r="31" ht="12.5" spans="12:13">
      <c r="L31" s="14"/>
      <c r="M31" s="14"/>
    </row>
    <row r="32" ht="12.5" spans="12:13">
      <c r="L32" s="14"/>
      <c r="M32" s="14"/>
    </row>
    <row r="33" ht="12.5" spans="12:13">
      <c r="L33" s="14"/>
      <c r="M33" s="14"/>
    </row>
    <row r="34" ht="12.5" spans="12:13">
      <c r="L34" s="14"/>
      <c r="M34" s="14"/>
    </row>
    <row r="35" ht="12.5" spans="12:13">
      <c r="L35" s="14"/>
      <c r="M35" s="14"/>
    </row>
    <row r="36" ht="12.5" spans="12:13">
      <c r="L36" s="14"/>
      <c r="M36" s="14"/>
    </row>
    <row r="37" ht="12.5" spans="12:13">
      <c r="L37" s="14"/>
      <c r="M37" s="14"/>
    </row>
    <row r="38" ht="12.5" spans="12:13">
      <c r="L38" s="14"/>
      <c r="M38" s="14"/>
    </row>
    <row r="39" ht="12.5" spans="12:13">
      <c r="L39" s="14"/>
      <c r="M39" s="14"/>
    </row>
    <row r="40" ht="12.5" spans="12:13">
      <c r="L40" s="14"/>
      <c r="M40" s="14"/>
    </row>
    <row r="41" ht="12.5" spans="12:13">
      <c r="L41" s="14"/>
      <c r="M41" s="14"/>
    </row>
    <row r="42" ht="12.5" spans="12:13">
      <c r="L42" s="14"/>
      <c r="M42" s="14"/>
    </row>
    <row r="43" ht="12.5" spans="12:13">
      <c r="L43" s="14"/>
      <c r="M43" s="14"/>
    </row>
    <row r="44" ht="12.5" spans="12:13">
      <c r="L44" s="14"/>
      <c r="M44" s="14"/>
    </row>
    <row r="45" ht="12.5" spans="12:13">
      <c r="L45" s="14"/>
      <c r="M45" s="14"/>
    </row>
    <row r="46" ht="12.5" spans="12:13">
      <c r="L46" s="14"/>
      <c r="M46" s="14"/>
    </row>
    <row r="47" ht="12.5" spans="12:13">
      <c r="L47" s="14"/>
      <c r="M47" s="14"/>
    </row>
    <row r="48" ht="12.5" spans="12:13">
      <c r="L48" s="14"/>
      <c r="M48" s="14"/>
    </row>
    <row r="49" ht="12.5" spans="12:13">
      <c r="L49" s="14"/>
      <c r="M49" s="14"/>
    </row>
    <row r="50" ht="12.5" spans="12:13">
      <c r="L50" s="14"/>
      <c r="M50" s="14"/>
    </row>
    <row r="51" ht="12.5" spans="12:13">
      <c r="L51" s="14"/>
      <c r="M51" s="14"/>
    </row>
    <row r="52" ht="12.5" spans="12:13">
      <c r="L52" s="14"/>
      <c r="M52" s="14"/>
    </row>
    <row r="53" ht="12.5" spans="12:13">
      <c r="L53" s="14"/>
      <c r="M53" s="14"/>
    </row>
    <row r="54" ht="12.5" spans="12:13">
      <c r="L54" s="14"/>
      <c r="M54" s="14"/>
    </row>
    <row r="55" ht="12.5" spans="12:13">
      <c r="L55" s="14"/>
      <c r="M55" s="14"/>
    </row>
    <row r="56" ht="12.5" spans="12:13">
      <c r="L56" s="14"/>
      <c r="M56" s="14"/>
    </row>
    <row r="57" ht="12.5" spans="12:13">
      <c r="L57" s="14"/>
      <c r="M57" s="14"/>
    </row>
    <row r="58" ht="12.5" spans="12:13">
      <c r="L58" s="14"/>
      <c r="M58" s="14"/>
    </row>
    <row r="59" ht="12.5" spans="12:13">
      <c r="L59" s="14"/>
      <c r="M59" s="14"/>
    </row>
    <row r="60" ht="12.5" spans="12:13">
      <c r="L60" s="14"/>
      <c r="M60" s="14"/>
    </row>
    <row r="61" ht="12.5" spans="12:13">
      <c r="L61" s="14"/>
      <c r="M61" s="14"/>
    </row>
    <row r="62" ht="12.5" spans="12:13">
      <c r="L62" s="14"/>
      <c r="M62" s="14"/>
    </row>
    <row r="63" ht="12.5" spans="12:13">
      <c r="L63" s="14"/>
      <c r="M63" s="14"/>
    </row>
    <row r="64" ht="12.5" spans="12:13">
      <c r="L64" s="14"/>
      <c r="M64" s="14"/>
    </row>
    <row r="65" ht="12.5" spans="12:13">
      <c r="L65" s="14"/>
      <c r="M65" s="14"/>
    </row>
    <row r="66" ht="12.5" spans="12:13">
      <c r="L66" s="14"/>
      <c r="M66" s="14"/>
    </row>
    <row r="67" ht="12.5" spans="12:13">
      <c r="L67" s="14"/>
      <c r="M67" s="14"/>
    </row>
    <row r="68" ht="12.5" spans="12:13">
      <c r="L68" s="14"/>
      <c r="M68" s="14"/>
    </row>
    <row r="69" ht="12.5" spans="12:13">
      <c r="L69" s="14"/>
      <c r="M69" s="14"/>
    </row>
    <row r="70" ht="12.5" spans="12:13">
      <c r="L70" s="14"/>
      <c r="M70" s="14"/>
    </row>
    <row r="71" ht="12.5" spans="12:13">
      <c r="L71" s="14"/>
      <c r="M71" s="14"/>
    </row>
    <row r="72" ht="12.5" spans="12:13">
      <c r="L72" s="14"/>
      <c r="M72" s="14"/>
    </row>
    <row r="73" ht="12.5" spans="12:13">
      <c r="L73" s="14"/>
      <c r="M73" s="14"/>
    </row>
    <row r="74" ht="12.5" spans="12:13">
      <c r="L74" s="14"/>
      <c r="M74" s="14"/>
    </row>
    <row r="75" ht="12.5" spans="12:13">
      <c r="L75" s="14"/>
      <c r="M75" s="14"/>
    </row>
    <row r="76" ht="12.5" spans="12:13">
      <c r="L76" s="14"/>
      <c r="M76" s="14"/>
    </row>
    <row r="77" ht="12.5" spans="12:13">
      <c r="L77" s="14"/>
      <c r="M77" s="14"/>
    </row>
    <row r="78" ht="12.5" spans="12:13">
      <c r="L78" s="14"/>
      <c r="M78" s="14"/>
    </row>
    <row r="79" ht="12.5" spans="12:13">
      <c r="L79" s="14"/>
      <c r="M79" s="14"/>
    </row>
    <row r="80" ht="12.5" spans="12:13">
      <c r="L80" s="14"/>
      <c r="M80" s="14"/>
    </row>
    <row r="81" ht="12.5" spans="12:13">
      <c r="L81" s="14"/>
      <c r="M81" s="14"/>
    </row>
    <row r="82" ht="12.5" spans="12:13">
      <c r="L82" s="14"/>
      <c r="M82" s="14"/>
    </row>
    <row r="83" ht="12.5" spans="12:13">
      <c r="L83" s="14"/>
      <c r="M83" s="14"/>
    </row>
    <row r="84" ht="12.5" spans="12:13">
      <c r="L84" s="14"/>
      <c r="M84" s="14"/>
    </row>
    <row r="85" ht="12.5" spans="12:13">
      <c r="L85" s="14"/>
      <c r="M85" s="14"/>
    </row>
    <row r="86" ht="12.5" spans="12:13">
      <c r="L86" s="14"/>
      <c r="M86" s="14"/>
    </row>
    <row r="87" ht="12.5" spans="12:13">
      <c r="L87" s="14"/>
      <c r="M87" s="14"/>
    </row>
    <row r="88" ht="12.5" spans="12:13">
      <c r="L88" s="14"/>
      <c r="M88" s="14"/>
    </row>
    <row r="89" ht="12.5" spans="12:13">
      <c r="L89" s="14"/>
      <c r="M89" s="14"/>
    </row>
    <row r="90" ht="12.5" spans="12:13">
      <c r="L90" s="14"/>
      <c r="M90" s="14"/>
    </row>
    <row r="91" ht="12.5" spans="12:13">
      <c r="L91" s="14"/>
      <c r="M91" s="14"/>
    </row>
    <row r="92" ht="12.5" spans="12:13">
      <c r="L92" s="14"/>
      <c r="M92" s="14"/>
    </row>
    <row r="93" ht="12.5" spans="12:13">
      <c r="L93" s="14"/>
      <c r="M93" s="14"/>
    </row>
    <row r="94" ht="12.5" spans="12:13">
      <c r="L94" s="14"/>
      <c r="M94" s="14"/>
    </row>
    <row r="95" ht="12.5" spans="12:13">
      <c r="L95" s="14"/>
      <c r="M95" s="14"/>
    </row>
    <row r="96" ht="12.5" spans="12:13">
      <c r="L96" s="14"/>
      <c r="M96" s="14"/>
    </row>
    <row r="97" ht="12.5" spans="12:13">
      <c r="L97" s="14"/>
      <c r="M97" s="14"/>
    </row>
    <row r="98" ht="12.5" spans="12:13">
      <c r="L98" s="14"/>
      <c r="M98" s="14"/>
    </row>
    <row r="99" ht="12.5" spans="12:13">
      <c r="L99" s="14"/>
      <c r="M99" s="14"/>
    </row>
    <row r="100" ht="12.5" spans="12:13">
      <c r="L100" s="14"/>
      <c r="M100" s="14"/>
    </row>
    <row r="101" ht="12.5" spans="12:13">
      <c r="L101" s="14"/>
      <c r="M101" s="14"/>
    </row>
    <row r="102" ht="12.5" spans="12:13">
      <c r="L102" s="14"/>
      <c r="M102" s="14"/>
    </row>
    <row r="103" ht="12.5" spans="12:13">
      <c r="L103" s="14"/>
      <c r="M103" s="14"/>
    </row>
    <row r="104" ht="12.5" spans="12:13">
      <c r="L104" s="14"/>
      <c r="M104" s="14"/>
    </row>
    <row r="105" ht="12.5" spans="12:13">
      <c r="L105" s="14"/>
      <c r="M105" s="14"/>
    </row>
    <row r="106" ht="12.5" spans="12:13">
      <c r="L106" s="14"/>
      <c r="M106" s="14"/>
    </row>
    <row r="107" ht="12.5" spans="12:13">
      <c r="L107" s="14"/>
      <c r="M107" s="14"/>
    </row>
    <row r="108" ht="12.5" spans="12:13">
      <c r="L108" s="14"/>
      <c r="M108" s="14"/>
    </row>
    <row r="109" ht="12.5" spans="12:13">
      <c r="L109" s="14"/>
      <c r="M109" s="14"/>
    </row>
    <row r="110" ht="12.5" spans="12:13">
      <c r="L110" s="14"/>
      <c r="M110" s="14"/>
    </row>
    <row r="111" ht="12.5" spans="12:13">
      <c r="L111" s="14"/>
      <c r="M111" s="14"/>
    </row>
    <row r="112" ht="12.5" spans="12:13">
      <c r="L112" s="14"/>
      <c r="M112" s="14"/>
    </row>
    <row r="113" ht="12.5" spans="12:13">
      <c r="L113" s="14"/>
      <c r="M113" s="14"/>
    </row>
    <row r="114" ht="12.5" spans="12:13">
      <c r="L114" s="14"/>
      <c r="M114" s="14"/>
    </row>
    <row r="115" ht="12.5" spans="12:13">
      <c r="L115" s="14"/>
      <c r="M115" s="14"/>
    </row>
    <row r="116" ht="12.5" spans="12:13">
      <c r="L116" s="14"/>
      <c r="M116" s="14"/>
    </row>
    <row r="117" ht="12.5" spans="12:13">
      <c r="L117" s="14"/>
      <c r="M117" s="14"/>
    </row>
    <row r="118" ht="12.5" spans="12:13">
      <c r="L118" s="14"/>
      <c r="M118" s="14"/>
    </row>
    <row r="119" ht="12.5" spans="12:13">
      <c r="L119" s="14"/>
      <c r="M119" s="14"/>
    </row>
    <row r="120" ht="12.5" spans="12:13">
      <c r="L120" s="14"/>
      <c r="M120" s="14"/>
    </row>
    <row r="121" ht="12.5" spans="12:13">
      <c r="L121" s="14"/>
      <c r="M121" s="14"/>
    </row>
    <row r="122" ht="12.5" spans="12:13">
      <c r="L122" s="14"/>
      <c r="M122" s="14"/>
    </row>
    <row r="123" ht="12.5" spans="12:13">
      <c r="L123" s="14"/>
      <c r="M123" s="14"/>
    </row>
    <row r="124" ht="12.5" spans="12:13">
      <c r="L124" s="14"/>
      <c r="M124" s="14"/>
    </row>
    <row r="125" ht="12.5" spans="12:13">
      <c r="L125" s="14"/>
      <c r="M125" s="14"/>
    </row>
    <row r="126" ht="12.5" spans="12:13">
      <c r="L126" s="14"/>
      <c r="M126" s="14"/>
    </row>
    <row r="127" ht="12.5" spans="12:13">
      <c r="L127" s="14"/>
      <c r="M127" s="14"/>
    </row>
    <row r="128" ht="12.5" spans="12:13">
      <c r="L128" s="14"/>
      <c r="M128" s="14"/>
    </row>
    <row r="129" ht="12.5" spans="12:13">
      <c r="L129" s="14"/>
      <c r="M129" s="14"/>
    </row>
    <row r="130" ht="12.5" spans="12:13">
      <c r="L130" s="14"/>
      <c r="M130" s="14"/>
    </row>
    <row r="131" ht="12.5" spans="12:13">
      <c r="L131" s="14"/>
      <c r="M131" s="14"/>
    </row>
    <row r="132" ht="12.5" spans="12:13">
      <c r="L132" s="14"/>
      <c r="M132" s="14"/>
    </row>
    <row r="133" ht="12.5" spans="12:13">
      <c r="L133" s="14"/>
      <c r="M133" s="14"/>
    </row>
    <row r="134" ht="12.5" spans="12:13">
      <c r="L134" s="14"/>
      <c r="M134" s="14"/>
    </row>
    <row r="135" ht="12.5" spans="12:13">
      <c r="L135" s="14"/>
      <c r="M135" s="14"/>
    </row>
    <row r="136" ht="12.5" spans="12:13">
      <c r="L136" s="14"/>
      <c r="M136" s="14"/>
    </row>
    <row r="137" ht="12.5" spans="12:13">
      <c r="L137" s="14"/>
      <c r="M137" s="14"/>
    </row>
    <row r="138" ht="12.5" spans="12:13">
      <c r="L138" s="14"/>
      <c r="M138" s="14"/>
    </row>
    <row r="139" ht="12.5" spans="12:13">
      <c r="L139" s="14"/>
      <c r="M139" s="14"/>
    </row>
    <row r="140" ht="12.5" spans="12:13">
      <c r="L140" s="14"/>
      <c r="M140" s="14"/>
    </row>
    <row r="141" ht="12.5" spans="12:13">
      <c r="L141" s="14"/>
      <c r="M141" s="14"/>
    </row>
    <row r="142" ht="12.5" spans="12:13">
      <c r="L142" s="14"/>
      <c r="M142" s="14"/>
    </row>
    <row r="143" ht="12.5" spans="12:13">
      <c r="L143" s="14"/>
      <c r="M143" s="14"/>
    </row>
    <row r="144" ht="12.5" spans="12:13">
      <c r="L144" s="14"/>
      <c r="M144" s="14"/>
    </row>
    <row r="145" ht="12.5" spans="12:13">
      <c r="L145" s="14"/>
      <c r="M145" s="14"/>
    </row>
    <row r="146" ht="12.5" spans="12:13">
      <c r="L146" s="14"/>
      <c r="M146" s="14"/>
    </row>
    <row r="147" ht="12.5" spans="12:13">
      <c r="L147" s="14"/>
      <c r="M147" s="14"/>
    </row>
    <row r="148" ht="12.5" spans="12:13">
      <c r="L148" s="14"/>
      <c r="M148" s="14"/>
    </row>
    <row r="149" ht="12.5" spans="12:13">
      <c r="L149" s="14"/>
      <c r="M149" s="14"/>
    </row>
    <row r="150" ht="12.5" spans="12:13">
      <c r="L150" s="14"/>
      <c r="M150" s="14"/>
    </row>
    <row r="151" ht="12.5" spans="12:13">
      <c r="L151" s="14"/>
      <c r="M151" s="14"/>
    </row>
    <row r="152" ht="12.5" spans="12:13">
      <c r="L152" s="14"/>
      <c r="M152" s="14"/>
    </row>
    <row r="153" ht="12.5" spans="12:13">
      <c r="L153" s="14"/>
      <c r="M153" s="14"/>
    </row>
    <row r="154" ht="12.5" spans="12:13">
      <c r="L154" s="14"/>
      <c r="M154" s="14"/>
    </row>
    <row r="155" ht="12.5" spans="12:13">
      <c r="L155" s="14"/>
      <c r="M155" s="14"/>
    </row>
    <row r="156" ht="12.5" spans="12:13">
      <c r="L156" s="14"/>
      <c r="M156" s="14"/>
    </row>
    <row r="157" ht="12.5" spans="12:13">
      <c r="L157" s="14"/>
      <c r="M157" s="14"/>
    </row>
    <row r="158" ht="12.5" spans="12:13">
      <c r="L158" s="14"/>
      <c r="M158" s="14"/>
    </row>
    <row r="159" ht="12.5" spans="12:13">
      <c r="L159" s="14"/>
      <c r="M159" s="14"/>
    </row>
    <row r="160" ht="12.5" spans="12:13">
      <c r="L160" s="14"/>
      <c r="M160" s="14"/>
    </row>
    <row r="161" ht="12.5" spans="12:13">
      <c r="L161" s="14"/>
      <c r="M161" s="14"/>
    </row>
    <row r="162" ht="12.5" spans="12:13">
      <c r="L162" s="14"/>
      <c r="M162" s="14"/>
    </row>
    <row r="163" ht="12.5" spans="12:13">
      <c r="L163" s="14"/>
      <c r="M163" s="14"/>
    </row>
    <row r="164" ht="12.5" spans="12:13">
      <c r="L164" s="14"/>
      <c r="M164" s="14"/>
    </row>
    <row r="165" ht="12.5" spans="12:13">
      <c r="L165" s="14"/>
      <c r="M165" s="14"/>
    </row>
    <row r="166" ht="12.5" spans="12:13">
      <c r="L166" s="14"/>
      <c r="M166" s="14"/>
    </row>
    <row r="167" ht="12.5" spans="12:13">
      <c r="L167" s="14"/>
      <c r="M167" s="14"/>
    </row>
    <row r="168" ht="12.5" spans="12:13">
      <c r="L168" s="14"/>
      <c r="M168" s="14"/>
    </row>
    <row r="169" ht="12.5" spans="12:13">
      <c r="L169" s="14"/>
      <c r="M169" s="14"/>
    </row>
    <row r="170" ht="12.5" spans="12:13">
      <c r="L170" s="14"/>
      <c r="M170" s="14"/>
    </row>
    <row r="171" ht="12.5" spans="12:13">
      <c r="L171" s="14"/>
      <c r="M171" s="14"/>
    </row>
    <row r="172" ht="12.5" spans="12:13">
      <c r="L172" s="14"/>
      <c r="M172" s="14"/>
    </row>
    <row r="173" ht="12.5" spans="12:13">
      <c r="L173" s="14"/>
      <c r="M173" s="14"/>
    </row>
    <row r="174" ht="12.5" spans="12:13">
      <c r="L174" s="14"/>
      <c r="M174" s="14"/>
    </row>
    <row r="175" ht="12.5" spans="12:13">
      <c r="L175" s="14"/>
      <c r="M175" s="14"/>
    </row>
    <row r="176" ht="12.5" spans="12:13">
      <c r="L176" s="14"/>
      <c r="M176" s="14"/>
    </row>
    <row r="177" ht="12.5" spans="12:13">
      <c r="L177" s="14"/>
      <c r="M177" s="14"/>
    </row>
    <row r="178" ht="12.5" spans="12:13">
      <c r="L178" s="14"/>
      <c r="M178" s="14"/>
    </row>
    <row r="179" ht="12.5" spans="12:13">
      <c r="L179" s="14"/>
      <c r="M179" s="14"/>
    </row>
    <row r="180" ht="12.5" spans="12:13">
      <c r="L180" s="14"/>
      <c r="M180" s="14"/>
    </row>
    <row r="181" ht="12.5" spans="12:13">
      <c r="L181" s="14"/>
      <c r="M181" s="14"/>
    </row>
    <row r="182" ht="12.5" spans="12:13">
      <c r="L182" s="14"/>
      <c r="M182" s="14"/>
    </row>
    <row r="183" ht="12.5" spans="12:13">
      <c r="L183" s="14"/>
      <c r="M183" s="14"/>
    </row>
    <row r="184" ht="12.5" spans="12:13">
      <c r="L184" s="14"/>
      <c r="M184" s="14"/>
    </row>
    <row r="185" ht="12.5" spans="12:13">
      <c r="L185" s="14"/>
      <c r="M185" s="14"/>
    </row>
    <row r="186" ht="12.5" spans="12:13">
      <c r="L186" s="14"/>
      <c r="M186" s="14"/>
    </row>
    <row r="187" ht="12.5" spans="12:13">
      <c r="L187" s="14"/>
      <c r="M187" s="14"/>
    </row>
    <row r="188" ht="12.5" spans="12:13">
      <c r="L188" s="14"/>
      <c r="M188" s="14"/>
    </row>
    <row r="189" ht="12.5" spans="12:13">
      <c r="L189" s="14"/>
      <c r="M189" s="14"/>
    </row>
    <row r="190" ht="12.5" spans="12:13">
      <c r="L190" s="14"/>
      <c r="M190" s="14"/>
    </row>
    <row r="191" ht="12.5" spans="12:13">
      <c r="L191" s="14"/>
      <c r="M191" s="14"/>
    </row>
    <row r="192" ht="12.5" spans="12:13">
      <c r="L192" s="14"/>
      <c r="M192" s="14"/>
    </row>
    <row r="193" ht="12.5" spans="12:13">
      <c r="L193" s="14"/>
      <c r="M193" s="14"/>
    </row>
    <row r="194" ht="12.5" spans="12:13">
      <c r="L194" s="14"/>
      <c r="M194" s="14"/>
    </row>
    <row r="195" ht="12.5" spans="12:13">
      <c r="L195" s="14"/>
      <c r="M195" s="14"/>
    </row>
    <row r="196" ht="12.5" spans="12:13">
      <c r="L196" s="14"/>
      <c r="M196" s="14"/>
    </row>
    <row r="197" ht="12.5" spans="12:13">
      <c r="L197" s="14"/>
      <c r="M197" s="14"/>
    </row>
    <row r="198" ht="12.5" spans="12:13">
      <c r="L198" s="14"/>
      <c r="M198" s="14"/>
    </row>
    <row r="199" ht="12.5" spans="12:13">
      <c r="L199" s="14"/>
      <c r="M199" s="14"/>
    </row>
    <row r="200" ht="12.5" spans="12:13">
      <c r="L200" s="14"/>
      <c r="M200" s="14"/>
    </row>
    <row r="201" ht="12.5" spans="12:13">
      <c r="L201" s="14"/>
      <c r="M201" s="14"/>
    </row>
    <row r="202" ht="12.5" spans="12:13">
      <c r="L202" s="14"/>
      <c r="M202" s="14"/>
    </row>
    <row r="203" ht="12.5" spans="12:13">
      <c r="L203" s="14"/>
      <c r="M203" s="14"/>
    </row>
    <row r="204" ht="12.5" spans="12:13">
      <c r="L204" s="14"/>
      <c r="M204" s="14"/>
    </row>
    <row r="205" ht="12.5" spans="12:13">
      <c r="L205" s="14"/>
      <c r="M205" s="14"/>
    </row>
    <row r="206" ht="12.5" spans="12:13">
      <c r="L206" s="14"/>
      <c r="M206" s="14"/>
    </row>
    <row r="207" ht="12.5" spans="12:13">
      <c r="L207" s="14"/>
      <c r="M207" s="14"/>
    </row>
    <row r="208" ht="12.5" spans="12:13">
      <c r="L208" s="14"/>
      <c r="M208" s="14"/>
    </row>
    <row r="209" ht="12.5" spans="12:13">
      <c r="L209" s="14"/>
      <c r="M209" s="14"/>
    </row>
    <row r="210" ht="12.5" spans="12:13">
      <c r="L210" s="14"/>
      <c r="M210" s="14"/>
    </row>
    <row r="211" ht="12.5" spans="12:13">
      <c r="L211" s="14"/>
      <c r="M211" s="14"/>
    </row>
    <row r="212" ht="12.5" spans="12:13">
      <c r="L212" s="14"/>
      <c r="M212" s="14"/>
    </row>
    <row r="213" ht="12.5" spans="12:13">
      <c r="L213" s="14"/>
      <c r="M213" s="14"/>
    </row>
    <row r="214" ht="12.5" spans="12:13">
      <c r="L214" s="14"/>
      <c r="M214" s="14"/>
    </row>
    <row r="215" ht="12.5" spans="12:13">
      <c r="L215" s="14"/>
      <c r="M215" s="14"/>
    </row>
    <row r="216" ht="12.5" spans="12:13">
      <c r="L216" s="14"/>
      <c r="M216" s="14"/>
    </row>
    <row r="217" ht="12.5" spans="12:13">
      <c r="L217" s="14"/>
      <c r="M217" s="14"/>
    </row>
    <row r="218" ht="12.5" spans="12:13">
      <c r="L218" s="14"/>
      <c r="M218" s="14"/>
    </row>
    <row r="219" ht="12.5" spans="12:13">
      <c r="L219" s="14"/>
      <c r="M219" s="14"/>
    </row>
    <row r="220" ht="12.5" spans="12:13">
      <c r="L220" s="14"/>
      <c r="M220" s="14"/>
    </row>
    <row r="221" ht="12.5" spans="12:13">
      <c r="L221" s="14"/>
      <c r="M221" s="14"/>
    </row>
    <row r="222" ht="12.5" spans="12:13">
      <c r="L222" s="14"/>
      <c r="M222" s="14"/>
    </row>
    <row r="223" ht="12.5" spans="12:13">
      <c r="L223" s="14"/>
      <c r="M223" s="14"/>
    </row>
    <row r="224" ht="12.5" spans="12:13">
      <c r="L224" s="14"/>
      <c r="M224" s="14"/>
    </row>
    <row r="225" ht="12.5" spans="12:13">
      <c r="L225" s="14"/>
      <c r="M225" s="14"/>
    </row>
    <row r="226" ht="12.5" spans="12:13">
      <c r="L226" s="14"/>
      <c r="M226" s="14"/>
    </row>
    <row r="227" ht="12.5" spans="12:13">
      <c r="L227" s="14"/>
      <c r="M227" s="14"/>
    </row>
    <row r="228" ht="12.5" spans="12:13">
      <c r="L228" s="14"/>
      <c r="M228" s="14"/>
    </row>
    <row r="229" ht="12.5" spans="12:13">
      <c r="L229" s="14"/>
      <c r="M229" s="14"/>
    </row>
    <row r="230" ht="12.5" spans="12:13">
      <c r="L230" s="14"/>
      <c r="M230" s="14"/>
    </row>
    <row r="231" ht="12.5" spans="12:13">
      <c r="L231" s="14"/>
      <c r="M231" s="14"/>
    </row>
    <row r="232" ht="12.5" spans="12:13">
      <c r="L232" s="14"/>
      <c r="M232" s="14"/>
    </row>
    <row r="233" ht="12.5" spans="12:13">
      <c r="L233" s="14"/>
      <c r="M233" s="14"/>
    </row>
    <row r="234" ht="12.5" spans="12:13">
      <c r="L234" s="14"/>
      <c r="M234" s="14"/>
    </row>
    <row r="235" ht="12.5" spans="12:13">
      <c r="L235" s="14"/>
      <c r="M235" s="14"/>
    </row>
    <row r="236" ht="12.5" spans="12:13">
      <c r="L236" s="14"/>
      <c r="M236" s="14"/>
    </row>
    <row r="237" ht="12.5" spans="12:13">
      <c r="L237" s="14"/>
      <c r="M237" s="14"/>
    </row>
    <row r="238" ht="12.5" spans="12:13">
      <c r="L238" s="14"/>
      <c r="M238" s="14"/>
    </row>
    <row r="239" ht="12.5" spans="12:13">
      <c r="L239" s="14"/>
      <c r="M239" s="14"/>
    </row>
    <row r="240" ht="12.5" spans="12:13">
      <c r="L240" s="14"/>
      <c r="M240" s="14"/>
    </row>
    <row r="241" ht="12.5" spans="12:13">
      <c r="L241" s="14"/>
      <c r="M241" s="14"/>
    </row>
    <row r="242" ht="12.5" spans="12:13">
      <c r="L242" s="14"/>
      <c r="M242" s="14"/>
    </row>
    <row r="243" ht="12.5" spans="12:13">
      <c r="L243" s="14"/>
      <c r="M243" s="14"/>
    </row>
    <row r="244" ht="12.5" spans="12:13">
      <c r="L244" s="14"/>
      <c r="M244" s="14"/>
    </row>
    <row r="245" ht="12.5" spans="12:13">
      <c r="L245" s="14"/>
      <c r="M245" s="14"/>
    </row>
    <row r="246" ht="12.5" spans="12:13">
      <c r="L246" s="14"/>
      <c r="M246" s="14"/>
    </row>
    <row r="247" ht="12.5" spans="12:13">
      <c r="L247" s="14"/>
      <c r="M247" s="14"/>
    </row>
    <row r="248" ht="12.5" spans="12:13">
      <c r="L248" s="14"/>
      <c r="M248" s="14"/>
    </row>
    <row r="249" ht="12.5" spans="12:13">
      <c r="L249" s="14"/>
      <c r="M249" s="14"/>
    </row>
    <row r="250" ht="12.5" spans="12:13">
      <c r="L250" s="14"/>
      <c r="M250" s="14"/>
    </row>
    <row r="251" ht="12.5" spans="12:13">
      <c r="L251" s="14"/>
      <c r="M251" s="14"/>
    </row>
    <row r="252" ht="12.5" spans="12:13">
      <c r="L252" s="14"/>
      <c r="M252" s="14"/>
    </row>
    <row r="253" ht="12.5" spans="12:13">
      <c r="L253" s="14"/>
      <c r="M253" s="14"/>
    </row>
    <row r="254" ht="12.5" spans="12:13">
      <c r="L254" s="14"/>
      <c r="M254" s="14"/>
    </row>
    <row r="255" ht="12.5" spans="12:13">
      <c r="L255" s="14"/>
      <c r="M255" s="14"/>
    </row>
    <row r="256" ht="12.5" spans="12:13">
      <c r="L256" s="14"/>
      <c r="M256" s="14"/>
    </row>
    <row r="257" ht="12.5" spans="12:13">
      <c r="L257" s="14"/>
      <c r="M257" s="14"/>
    </row>
    <row r="258" ht="12.5" spans="12:13">
      <c r="L258" s="14"/>
      <c r="M258" s="14"/>
    </row>
    <row r="259" ht="12.5" spans="12:13">
      <c r="L259" s="14"/>
      <c r="M259" s="14"/>
    </row>
    <row r="260" ht="12.5" spans="12:13">
      <c r="L260" s="14"/>
      <c r="M260" s="14"/>
    </row>
    <row r="261" ht="12.5" spans="12:13">
      <c r="L261" s="14"/>
      <c r="M261" s="14"/>
    </row>
    <row r="262" ht="12.5" spans="12:13">
      <c r="L262" s="14"/>
      <c r="M262" s="14"/>
    </row>
    <row r="263" ht="12.5" spans="12:13">
      <c r="L263" s="14"/>
      <c r="M263" s="14"/>
    </row>
    <row r="264" ht="12.5" spans="12:13">
      <c r="L264" s="14"/>
      <c r="M264" s="14"/>
    </row>
    <row r="265" ht="12.5" spans="12:13">
      <c r="L265" s="14"/>
      <c r="M265" s="14"/>
    </row>
    <row r="266" ht="12.5" spans="12:13">
      <c r="L266" s="14"/>
      <c r="M266" s="14"/>
    </row>
    <row r="267" ht="12.5" spans="12:13">
      <c r="L267" s="14"/>
      <c r="M267" s="14"/>
    </row>
    <row r="268" ht="12.5" spans="12:13">
      <c r="L268" s="14"/>
      <c r="M268" s="14"/>
    </row>
    <row r="269" ht="12.5" spans="12:13">
      <c r="L269" s="14"/>
      <c r="M269" s="14"/>
    </row>
    <row r="270" ht="12.5" spans="12:13">
      <c r="L270" s="14"/>
      <c r="M270" s="14"/>
    </row>
    <row r="271" ht="12.5" spans="12:13">
      <c r="L271" s="14"/>
      <c r="M271" s="14"/>
    </row>
    <row r="272" ht="12.5" spans="12:13">
      <c r="L272" s="14"/>
      <c r="M272" s="14"/>
    </row>
    <row r="273" ht="12.5" spans="12:13">
      <c r="L273" s="14"/>
      <c r="M273" s="14"/>
    </row>
    <row r="274" ht="12.5" spans="12:13">
      <c r="L274" s="14"/>
      <c r="M274" s="14"/>
    </row>
    <row r="275" ht="12.5" spans="12:13">
      <c r="L275" s="14"/>
      <c r="M275" s="14"/>
    </row>
    <row r="276" ht="12.5" spans="12:13">
      <c r="L276" s="14"/>
      <c r="M276" s="14"/>
    </row>
    <row r="277" ht="12.5" spans="12:13">
      <c r="L277" s="14"/>
      <c r="M277" s="14"/>
    </row>
    <row r="278" ht="12.5" spans="12:13">
      <c r="L278" s="14"/>
      <c r="M278" s="14"/>
    </row>
    <row r="279" ht="12.5" spans="12:13">
      <c r="L279" s="14"/>
      <c r="M279" s="14"/>
    </row>
    <row r="280" ht="12.5" spans="12:13">
      <c r="L280" s="14"/>
      <c r="M280" s="14"/>
    </row>
    <row r="281" ht="12.5" spans="12:13">
      <c r="L281" s="14"/>
      <c r="M281" s="14"/>
    </row>
    <row r="282" ht="12.5" spans="12:13">
      <c r="L282" s="14"/>
      <c r="M282" s="14"/>
    </row>
    <row r="283" ht="12.5" spans="12:13">
      <c r="L283" s="14"/>
      <c r="M283" s="14"/>
    </row>
    <row r="284" ht="12.5" spans="12:13">
      <c r="L284" s="14"/>
      <c r="M284" s="14"/>
    </row>
    <row r="285" ht="12.5" spans="12:13">
      <c r="L285" s="14"/>
      <c r="M285" s="14"/>
    </row>
    <row r="286" ht="12.5" spans="12:13">
      <c r="L286" s="14"/>
      <c r="M286" s="14"/>
    </row>
    <row r="287" ht="12.5" spans="12:13">
      <c r="L287" s="14"/>
      <c r="M287" s="14"/>
    </row>
    <row r="288" ht="12.5" spans="12:13">
      <c r="L288" s="14"/>
      <c r="M288" s="14"/>
    </row>
    <row r="289" ht="12.5" spans="12:13">
      <c r="L289" s="14"/>
      <c r="M289" s="14"/>
    </row>
    <row r="290" ht="12.5" spans="12:13">
      <c r="L290" s="14"/>
      <c r="M290" s="14"/>
    </row>
    <row r="291" ht="12.5" spans="12:13">
      <c r="L291" s="14"/>
      <c r="M291" s="14"/>
    </row>
    <row r="292" ht="12.5" spans="12:13">
      <c r="L292" s="14"/>
      <c r="M292" s="14"/>
    </row>
    <row r="293" ht="12.5" spans="12:13">
      <c r="L293" s="14"/>
      <c r="M293" s="14"/>
    </row>
    <row r="294" ht="12.5" spans="12:13">
      <c r="L294" s="14"/>
      <c r="M294" s="14"/>
    </row>
    <row r="295" ht="12.5" spans="12:13">
      <c r="L295" s="14"/>
      <c r="M295" s="14"/>
    </row>
    <row r="296" ht="12.5" spans="12:13">
      <c r="L296" s="14"/>
      <c r="M296" s="14"/>
    </row>
    <row r="297" ht="12.5" spans="12:13">
      <c r="L297" s="14"/>
      <c r="M297" s="14"/>
    </row>
    <row r="298" ht="12.5" spans="12:13">
      <c r="L298" s="14"/>
      <c r="M298" s="14"/>
    </row>
    <row r="299" ht="12.5" spans="12:13">
      <c r="L299" s="14"/>
      <c r="M299" s="14"/>
    </row>
    <row r="300" ht="12.5" spans="12:13">
      <c r="L300" s="14"/>
      <c r="M300" s="14"/>
    </row>
    <row r="301" ht="12.5" spans="12:13">
      <c r="L301" s="14"/>
      <c r="M301" s="14"/>
    </row>
    <row r="302" ht="12.5" spans="12:13">
      <c r="L302" s="14"/>
      <c r="M302" s="14"/>
    </row>
    <row r="303" ht="12.5" spans="12:13">
      <c r="L303" s="14"/>
      <c r="M303" s="14"/>
    </row>
    <row r="304" ht="12.5" spans="12:13">
      <c r="L304" s="14"/>
      <c r="M304" s="14"/>
    </row>
    <row r="305" ht="12.5" spans="12:13">
      <c r="L305" s="14"/>
      <c r="M305" s="14"/>
    </row>
    <row r="306" ht="12.5" spans="12:13">
      <c r="L306" s="14"/>
      <c r="M306" s="14"/>
    </row>
    <row r="307" ht="12.5" spans="12:13">
      <c r="L307" s="14"/>
      <c r="M307" s="14"/>
    </row>
    <row r="308" ht="12.5" spans="12:13">
      <c r="L308" s="14"/>
      <c r="M308" s="14"/>
    </row>
    <row r="309" ht="12.5" spans="12:13">
      <c r="L309" s="14"/>
      <c r="M309" s="14"/>
    </row>
    <row r="310" ht="12.5" spans="12:13">
      <c r="L310" s="14"/>
      <c r="M310" s="14"/>
    </row>
    <row r="311" ht="12.5" spans="12:13">
      <c r="L311" s="14"/>
      <c r="M311" s="14"/>
    </row>
    <row r="312" ht="12.5" spans="12:13">
      <c r="L312" s="14"/>
      <c r="M312" s="14"/>
    </row>
    <row r="313" ht="12.5" spans="12:13">
      <c r="L313" s="14"/>
      <c r="M313" s="14"/>
    </row>
    <row r="314" ht="12.5" spans="12:13">
      <c r="L314" s="14"/>
      <c r="M314" s="14"/>
    </row>
    <row r="315" ht="12.5" spans="12:13">
      <c r="L315" s="14"/>
      <c r="M315" s="14"/>
    </row>
    <row r="316" ht="12.5" spans="12:13">
      <c r="L316" s="14"/>
      <c r="M316" s="14"/>
    </row>
    <row r="317" ht="12.5" spans="12:13">
      <c r="L317" s="14"/>
      <c r="M317" s="14"/>
    </row>
    <row r="318" ht="12.5" spans="12:13">
      <c r="L318" s="14"/>
      <c r="M318" s="14"/>
    </row>
    <row r="319" ht="12.5" spans="12:13">
      <c r="L319" s="14"/>
      <c r="M319" s="14"/>
    </row>
    <row r="320" ht="12.5" spans="12:13">
      <c r="L320" s="14"/>
      <c r="M320" s="14"/>
    </row>
    <row r="321" ht="12.5" spans="12:13">
      <c r="L321" s="14"/>
      <c r="M321" s="14"/>
    </row>
    <row r="322" ht="12.5" spans="12:13">
      <c r="L322" s="14"/>
      <c r="M322" s="14"/>
    </row>
    <row r="323" ht="12.5" spans="12:13">
      <c r="L323" s="14"/>
      <c r="M323" s="14"/>
    </row>
    <row r="324" ht="12.5" spans="12:13">
      <c r="L324" s="14"/>
      <c r="M324" s="14"/>
    </row>
    <row r="325" ht="12.5" spans="12:13">
      <c r="L325" s="14"/>
      <c r="M325" s="14"/>
    </row>
    <row r="326" ht="12.5" spans="12:13">
      <c r="L326" s="14"/>
      <c r="M326" s="14"/>
    </row>
    <row r="327" ht="12.5" spans="12:13">
      <c r="L327" s="14"/>
      <c r="M327" s="14"/>
    </row>
    <row r="328" ht="12.5" spans="12:13">
      <c r="L328" s="14"/>
      <c r="M328" s="14"/>
    </row>
    <row r="329" ht="12.5" spans="12:13">
      <c r="L329" s="14"/>
      <c r="M329" s="14"/>
    </row>
    <row r="330" ht="12.5" spans="12:13">
      <c r="L330" s="14"/>
      <c r="M330" s="14"/>
    </row>
    <row r="331" ht="12.5" spans="12:13">
      <c r="L331" s="14"/>
      <c r="M331" s="14"/>
    </row>
    <row r="332" ht="12.5" spans="12:13">
      <c r="L332" s="14"/>
      <c r="M332" s="14"/>
    </row>
    <row r="333" ht="12.5" spans="12:13">
      <c r="L333" s="14"/>
      <c r="M333" s="14"/>
    </row>
    <row r="334" ht="12.5" spans="12:13">
      <c r="L334" s="14"/>
      <c r="M334" s="14"/>
    </row>
    <row r="335" ht="12.5" spans="12:13">
      <c r="L335" s="14"/>
      <c r="M335" s="14"/>
    </row>
    <row r="336" ht="12.5" spans="12:13">
      <c r="L336" s="14"/>
      <c r="M336" s="14"/>
    </row>
    <row r="337" ht="12.5" spans="12:13">
      <c r="L337" s="14"/>
      <c r="M337" s="14"/>
    </row>
    <row r="338" ht="12.5" spans="12:13">
      <c r="L338" s="14"/>
      <c r="M338" s="14"/>
    </row>
    <row r="339" ht="12.5" spans="12:13">
      <c r="L339" s="14"/>
      <c r="M339" s="14"/>
    </row>
    <row r="340" ht="12.5" spans="12:13">
      <c r="L340" s="14"/>
      <c r="M340" s="14"/>
    </row>
    <row r="341" ht="12.5" spans="12:13">
      <c r="L341" s="14"/>
      <c r="M341" s="14"/>
    </row>
    <row r="342" ht="12.5" spans="12:13">
      <c r="L342" s="14"/>
      <c r="M342" s="14"/>
    </row>
    <row r="343" ht="12.5" spans="12:13">
      <c r="L343" s="14"/>
      <c r="M343" s="14"/>
    </row>
    <row r="344" ht="12.5" spans="12:13">
      <c r="L344" s="14"/>
      <c r="M344" s="14"/>
    </row>
    <row r="345" ht="12.5" spans="12:13">
      <c r="L345" s="14"/>
      <c r="M345" s="14"/>
    </row>
    <row r="346" ht="12.5" spans="12:13">
      <c r="L346" s="14"/>
      <c r="M346" s="14"/>
    </row>
    <row r="347" ht="12.5" spans="12:13">
      <c r="L347" s="14"/>
      <c r="M347" s="14"/>
    </row>
    <row r="348" ht="12.5" spans="12:13">
      <c r="L348" s="14"/>
      <c r="M348" s="14"/>
    </row>
    <row r="349" ht="12.5" spans="12:13">
      <c r="L349" s="14"/>
      <c r="M349" s="14"/>
    </row>
    <row r="350" ht="12.5" spans="12:13">
      <c r="L350" s="14"/>
      <c r="M350" s="14"/>
    </row>
    <row r="351" ht="12.5" spans="12:13">
      <c r="L351" s="14"/>
      <c r="M351" s="14"/>
    </row>
    <row r="352" ht="12.5" spans="12:13">
      <c r="L352" s="14"/>
      <c r="M352" s="14"/>
    </row>
    <row r="353" ht="12.5" spans="12:13">
      <c r="L353" s="14"/>
      <c r="M353" s="14"/>
    </row>
    <row r="354" ht="12.5" spans="12:13">
      <c r="L354" s="14"/>
      <c r="M354" s="14"/>
    </row>
    <row r="355" ht="12.5" spans="12:13">
      <c r="L355" s="14"/>
      <c r="M355" s="14"/>
    </row>
    <row r="356" ht="12.5" spans="12:13">
      <c r="L356" s="14"/>
      <c r="M356" s="14"/>
    </row>
    <row r="357" ht="12.5" spans="12:13">
      <c r="L357" s="14"/>
      <c r="M357" s="14"/>
    </row>
    <row r="358" ht="12.5" spans="12:13">
      <c r="L358" s="14"/>
      <c r="M358" s="14"/>
    </row>
    <row r="359" ht="12.5" spans="12:13">
      <c r="L359" s="14"/>
      <c r="M359" s="14"/>
    </row>
    <row r="360" ht="12.5" spans="12:13">
      <c r="L360" s="14"/>
      <c r="M360" s="14"/>
    </row>
    <row r="361" ht="12.5" spans="12:13">
      <c r="L361" s="14"/>
      <c r="M361" s="14"/>
    </row>
    <row r="362" ht="12.5" spans="12:13">
      <c r="L362" s="14"/>
      <c r="M362" s="14"/>
    </row>
    <row r="363" ht="12.5" spans="12:13">
      <c r="L363" s="14"/>
      <c r="M363" s="14"/>
    </row>
    <row r="364" ht="12.5" spans="12:13">
      <c r="L364" s="14"/>
      <c r="M364" s="14"/>
    </row>
    <row r="365" ht="12.5" spans="12:13">
      <c r="L365" s="14"/>
      <c r="M365" s="14"/>
    </row>
    <row r="366" ht="12.5" spans="12:13">
      <c r="L366" s="14"/>
      <c r="M366" s="14"/>
    </row>
    <row r="367" ht="12.5" spans="12:13">
      <c r="L367" s="14"/>
      <c r="M367" s="14"/>
    </row>
    <row r="368" ht="12.5" spans="12:13">
      <c r="L368" s="14"/>
      <c r="M368" s="14"/>
    </row>
    <row r="369" ht="12.5" spans="12:13">
      <c r="L369" s="14"/>
      <c r="M369" s="14"/>
    </row>
    <row r="370" ht="12.5" spans="12:13">
      <c r="L370" s="14"/>
      <c r="M370" s="14"/>
    </row>
    <row r="371" ht="12.5" spans="12:13">
      <c r="L371" s="14"/>
      <c r="M371" s="14"/>
    </row>
    <row r="372" ht="12.5" spans="12:13">
      <c r="L372" s="14"/>
      <c r="M372" s="14"/>
    </row>
    <row r="373" ht="12.5" spans="12:13">
      <c r="L373" s="14"/>
      <c r="M373" s="14"/>
    </row>
    <row r="374" ht="12.5" spans="12:13">
      <c r="L374" s="14"/>
      <c r="M374" s="14"/>
    </row>
    <row r="375" ht="12.5" spans="12:13">
      <c r="L375" s="14"/>
      <c r="M375" s="14"/>
    </row>
    <row r="376" ht="12.5" spans="12:13">
      <c r="L376" s="14"/>
      <c r="M376" s="14"/>
    </row>
    <row r="377" ht="12.5" spans="12:13">
      <c r="L377" s="14"/>
      <c r="M377" s="14"/>
    </row>
    <row r="378" ht="12.5" spans="12:13">
      <c r="L378" s="14"/>
      <c r="M378" s="14"/>
    </row>
    <row r="379" ht="12.5" spans="12:13">
      <c r="L379" s="14"/>
      <c r="M379" s="14"/>
    </row>
    <row r="380" ht="12.5" spans="12:13">
      <c r="L380" s="14"/>
      <c r="M380" s="14"/>
    </row>
    <row r="381" ht="12.5" spans="12:13">
      <c r="L381" s="14"/>
      <c r="M381" s="14"/>
    </row>
    <row r="382" ht="12.5" spans="12:13">
      <c r="L382" s="14"/>
      <c r="M382" s="14"/>
    </row>
    <row r="383" ht="12.5" spans="12:13">
      <c r="L383" s="14"/>
      <c r="M383" s="14"/>
    </row>
    <row r="384" ht="12.5" spans="12:13">
      <c r="L384" s="14"/>
      <c r="M384" s="14"/>
    </row>
    <row r="385" ht="12.5" spans="12:13">
      <c r="L385" s="14"/>
      <c r="M385" s="14"/>
    </row>
    <row r="386" ht="12.5" spans="12:13">
      <c r="L386" s="14"/>
      <c r="M386" s="14"/>
    </row>
    <row r="387" ht="12.5" spans="12:13">
      <c r="L387" s="14"/>
      <c r="M387" s="14"/>
    </row>
    <row r="388" ht="12.5" spans="12:13">
      <c r="L388" s="14"/>
      <c r="M388" s="14"/>
    </row>
    <row r="389" ht="12.5" spans="12:13">
      <c r="L389" s="14"/>
      <c r="M389" s="14"/>
    </row>
    <row r="390" ht="12.5" spans="12:13">
      <c r="L390" s="14"/>
      <c r="M390" s="14"/>
    </row>
    <row r="391" ht="12.5" spans="12:13">
      <c r="L391" s="14"/>
      <c r="M391" s="14"/>
    </row>
    <row r="392" ht="12.5" spans="12:13">
      <c r="L392" s="14"/>
      <c r="M392" s="14"/>
    </row>
    <row r="393" ht="12.5" spans="12:13">
      <c r="L393" s="14"/>
      <c r="M393" s="14"/>
    </row>
    <row r="394" ht="12.5" spans="12:13">
      <c r="L394" s="14"/>
      <c r="M394" s="14"/>
    </row>
    <row r="395" ht="12.5" spans="12:13">
      <c r="L395" s="14"/>
      <c r="M395" s="14"/>
    </row>
    <row r="396" ht="12.5" spans="12:13">
      <c r="L396" s="14"/>
      <c r="M396" s="14"/>
    </row>
    <row r="397" ht="12.5" spans="12:13">
      <c r="L397" s="14"/>
      <c r="M397" s="14"/>
    </row>
    <row r="398" ht="12.5" spans="12:13">
      <c r="L398" s="14"/>
      <c r="M398" s="14"/>
    </row>
    <row r="399" ht="12.5" spans="12:13">
      <c r="L399" s="14"/>
      <c r="M399" s="14"/>
    </row>
    <row r="400" ht="12.5" spans="12:13">
      <c r="L400" s="14"/>
      <c r="M400" s="14"/>
    </row>
    <row r="401" ht="12.5" spans="12:13">
      <c r="L401" s="14"/>
      <c r="M401" s="14"/>
    </row>
    <row r="402" ht="12.5" spans="12:13">
      <c r="L402" s="14"/>
      <c r="M402" s="14"/>
    </row>
    <row r="403" ht="12.5" spans="12:13">
      <c r="L403" s="14"/>
      <c r="M403" s="14"/>
    </row>
    <row r="404" ht="12.5" spans="12:13">
      <c r="L404" s="14"/>
      <c r="M404" s="14"/>
    </row>
    <row r="405" ht="12.5" spans="12:13">
      <c r="L405" s="14"/>
      <c r="M405" s="14"/>
    </row>
    <row r="406" ht="12.5" spans="12:13">
      <c r="L406" s="14"/>
      <c r="M406" s="14"/>
    </row>
    <row r="407" ht="12.5" spans="12:13">
      <c r="L407" s="14"/>
      <c r="M407" s="14"/>
    </row>
    <row r="408" ht="12.5" spans="12:13">
      <c r="L408" s="14"/>
      <c r="M408" s="14"/>
    </row>
    <row r="409" ht="12.5" spans="12:13">
      <c r="L409" s="14"/>
      <c r="M409" s="14"/>
    </row>
    <row r="410" ht="12.5" spans="12:13">
      <c r="L410" s="14"/>
      <c r="M410" s="14"/>
    </row>
    <row r="411" ht="12.5" spans="12:13">
      <c r="L411" s="14"/>
      <c r="M411" s="14"/>
    </row>
    <row r="412" ht="12.5" spans="12:13">
      <c r="L412" s="14"/>
      <c r="M412" s="14"/>
    </row>
    <row r="413" ht="12.5" spans="12:13">
      <c r="L413" s="14"/>
      <c r="M413" s="14"/>
    </row>
    <row r="414" ht="12.5" spans="12:13">
      <c r="L414" s="14"/>
      <c r="M414" s="14"/>
    </row>
    <row r="415" ht="12.5" spans="12:13">
      <c r="L415" s="14"/>
      <c r="M415" s="14"/>
    </row>
    <row r="416" ht="12.5" spans="12:13">
      <c r="L416" s="14"/>
      <c r="M416" s="14"/>
    </row>
    <row r="417" ht="12.5" spans="12:13">
      <c r="L417" s="14"/>
      <c r="M417" s="14"/>
    </row>
    <row r="418" ht="12.5" spans="12:13">
      <c r="L418" s="14"/>
      <c r="M418" s="14"/>
    </row>
    <row r="419" ht="12.5" spans="12:13">
      <c r="L419" s="14"/>
      <c r="M419" s="14"/>
    </row>
    <row r="420" ht="12.5" spans="12:13">
      <c r="L420" s="14"/>
      <c r="M420" s="14"/>
    </row>
    <row r="421" ht="12.5" spans="12:13">
      <c r="L421" s="14"/>
      <c r="M421" s="14"/>
    </row>
    <row r="422" ht="12.5" spans="12:13">
      <c r="L422" s="14"/>
      <c r="M422" s="14"/>
    </row>
    <row r="423" ht="12.5" spans="12:13">
      <c r="L423" s="14"/>
      <c r="M423" s="14"/>
    </row>
    <row r="424" ht="12.5" spans="12:13">
      <c r="L424" s="14"/>
      <c r="M424" s="14"/>
    </row>
    <row r="425" ht="12.5" spans="12:13">
      <c r="L425" s="14"/>
      <c r="M425" s="14"/>
    </row>
    <row r="426" ht="12.5" spans="12:13">
      <c r="L426" s="14"/>
      <c r="M426" s="14"/>
    </row>
    <row r="427" ht="12.5" spans="12:13">
      <c r="L427" s="14"/>
      <c r="M427" s="14"/>
    </row>
    <row r="428" ht="12.5" spans="12:13">
      <c r="L428" s="14"/>
      <c r="M428" s="14"/>
    </row>
    <row r="429" ht="12.5" spans="12:13">
      <c r="L429" s="14"/>
      <c r="M429" s="14"/>
    </row>
    <row r="430" ht="12.5" spans="12:13">
      <c r="L430" s="14"/>
      <c r="M430" s="14"/>
    </row>
    <row r="431" ht="12.5" spans="12:13">
      <c r="L431" s="14"/>
      <c r="M431" s="14"/>
    </row>
    <row r="432" ht="12.5" spans="12:13">
      <c r="L432" s="14"/>
      <c r="M432" s="14"/>
    </row>
    <row r="433" ht="12.5" spans="12:13">
      <c r="L433" s="14"/>
      <c r="M433" s="14"/>
    </row>
    <row r="434" ht="12.5" spans="12:13">
      <c r="L434" s="14"/>
      <c r="M434" s="14"/>
    </row>
    <row r="435" ht="12.5" spans="12:13">
      <c r="L435" s="14"/>
      <c r="M435" s="14"/>
    </row>
    <row r="436" ht="12.5" spans="12:13">
      <c r="L436" s="14"/>
      <c r="M436" s="14"/>
    </row>
    <row r="437" ht="12.5" spans="12:13">
      <c r="L437" s="14"/>
      <c r="M437" s="14"/>
    </row>
    <row r="438" ht="12.5" spans="12:13">
      <c r="L438" s="14"/>
      <c r="M438" s="14"/>
    </row>
    <row r="439" ht="12.5" spans="12:13">
      <c r="L439" s="14"/>
      <c r="M439" s="14"/>
    </row>
    <row r="440" ht="12.5" spans="12:13">
      <c r="L440" s="14"/>
      <c r="M440" s="14"/>
    </row>
    <row r="441" ht="12.5" spans="12:13">
      <c r="L441" s="14"/>
      <c r="M441" s="14"/>
    </row>
    <row r="442" ht="12.5" spans="12:13">
      <c r="L442" s="14"/>
      <c r="M442" s="14"/>
    </row>
    <row r="443" ht="12.5" spans="12:13">
      <c r="L443" s="14"/>
      <c r="M443" s="14"/>
    </row>
    <row r="444" ht="12.5" spans="12:13">
      <c r="L444" s="14"/>
      <c r="M444" s="14"/>
    </row>
    <row r="445" ht="12.5" spans="12:13">
      <c r="L445" s="14"/>
      <c r="M445" s="14"/>
    </row>
    <row r="446" ht="12.5" spans="12:13">
      <c r="L446" s="14"/>
      <c r="M446" s="14"/>
    </row>
    <row r="447" ht="12.5" spans="12:13">
      <c r="L447" s="14"/>
      <c r="M447" s="14"/>
    </row>
    <row r="448" ht="12.5" spans="12:13">
      <c r="L448" s="14"/>
      <c r="M448" s="14"/>
    </row>
    <row r="449" ht="12.5" spans="12:13">
      <c r="L449" s="14"/>
      <c r="M449" s="14"/>
    </row>
    <row r="450" ht="12.5" spans="12:13">
      <c r="L450" s="14"/>
      <c r="M450" s="14"/>
    </row>
    <row r="451" ht="12.5" spans="12:13">
      <c r="L451" s="14"/>
      <c r="M451" s="14"/>
    </row>
    <row r="452" ht="12.5" spans="12:13">
      <c r="L452" s="14"/>
      <c r="M452" s="14"/>
    </row>
    <row r="453" ht="12.5" spans="12:13">
      <c r="L453" s="14"/>
      <c r="M453" s="14"/>
    </row>
    <row r="454" ht="12.5" spans="12:13">
      <c r="L454" s="14"/>
      <c r="M454" s="14"/>
    </row>
    <row r="455" ht="12.5" spans="12:13">
      <c r="L455" s="14"/>
      <c r="M455" s="14"/>
    </row>
    <row r="456" ht="12.5" spans="12:13">
      <c r="L456" s="14"/>
      <c r="M456" s="14"/>
    </row>
    <row r="457" ht="12.5" spans="12:13">
      <c r="L457" s="14"/>
      <c r="M457" s="14"/>
    </row>
    <row r="458" ht="12.5" spans="12:13">
      <c r="L458" s="14"/>
      <c r="M458" s="14"/>
    </row>
    <row r="459" ht="12.5" spans="12:13">
      <c r="L459" s="14"/>
      <c r="M459" s="14"/>
    </row>
    <row r="460" ht="12.5" spans="12:13">
      <c r="L460" s="14"/>
      <c r="M460" s="14"/>
    </row>
    <row r="461" ht="12.5" spans="12:13">
      <c r="L461" s="14"/>
      <c r="M461" s="14"/>
    </row>
    <row r="462" ht="12.5" spans="12:13">
      <c r="L462" s="14"/>
      <c r="M462" s="14"/>
    </row>
    <row r="463" ht="12.5" spans="12:13">
      <c r="L463" s="14"/>
      <c r="M463" s="14"/>
    </row>
    <row r="464" ht="12.5" spans="12:13">
      <c r="L464" s="14"/>
      <c r="M464" s="14"/>
    </row>
    <row r="465" ht="12.5" spans="12:13">
      <c r="L465" s="14"/>
      <c r="M465" s="14"/>
    </row>
    <row r="466" ht="12.5" spans="12:13">
      <c r="L466" s="14"/>
      <c r="M466" s="14"/>
    </row>
    <row r="467" ht="12.5" spans="12:13">
      <c r="L467" s="14"/>
      <c r="M467" s="14"/>
    </row>
    <row r="468" ht="12.5" spans="12:13">
      <c r="L468" s="14"/>
      <c r="M468" s="14"/>
    </row>
    <row r="469" ht="12.5" spans="12:13">
      <c r="L469" s="14"/>
      <c r="M469" s="14"/>
    </row>
    <row r="470" ht="12.5" spans="12:13">
      <c r="L470" s="14"/>
      <c r="M470" s="14"/>
    </row>
    <row r="471" ht="12.5" spans="12:13">
      <c r="L471" s="14"/>
      <c r="M471" s="14"/>
    </row>
    <row r="472" ht="12.5" spans="12:13">
      <c r="L472" s="14"/>
      <c r="M472" s="14"/>
    </row>
    <row r="473" ht="12.5" spans="12:13">
      <c r="L473" s="14"/>
      <c r="M473" s="14"/>
    </row>
    <row r="474" ht="12.5" spans="12:13">
      <c r="L474" s="14"/>
      <c r="M474" s="14"/>
    </row>
    <row r="475" ht="12.5" spans="12:13">
      <c r="L475" s="14"/>
      <c r="M475" s="14"/>
    </row>
    <row r="476" ht="12.5" spans="12:13">
      <c r="L476" s="14"/>
      <c r="M476" s="14"/>
    </row>
    <row r="477" ht="12.5" spans="12:13">
      <c r="L477" s="14"/>
      <c r="M477" s="14"/>
    </row>
    <row r="478" ht="12.5" spans="12:13">
      <c r="L478" s="14"/>
      <c r="M478" s="14"/>
    </row>
    <row r="479" ht="12.5" spans="12:13">
      <c r="L479" s="14"/>
      <c r="M479" s="14"/>
    </row>
    <row r="480" ht="12.5" spans="12:13">
      <c r="L480" s="14"/>
      <c r="M480" s="14"/>
    </row>
    <row r="481" ht="12.5" spans="12:13">
      <c r="L481" s="14"/>
      <c r="M481" s="14"/>
    </row>
    <row r="482" ht="12.5" spans="12:13">
      <c r="L482" s="14"/>
      <c r="M482" s="14"/>
    </row>
    <row r="483" ht="12.5" spans="12:13">
      <c r="L483" s="14"/>
      <c r="M483" s="14"/>
    </row>
    <row r="484" ht="12.5" spans="12:13">
      <c r="L484" s="14"/>
      <c r="M484" s="14"/>
    </row>
    <row r="485" ht="12.5" spans="12:13">
      <c r="L485" s="14"/>
      <c r="M485" s="14"/>
    </row>
    <row r="486" ht="12.5" spans="12:13">
      <c r="L486" s="14"/>
      <c r="M486" s="14"/>
    </row>
    <row r="487" ht="12.5" spans="12:13">
      <c r="L487" s="14"/>
      <c r="M487" s="14"/>
    </row>
    <row r="488" ht="12.5" spans="12:13">
      <c r="L488" s="14"/>
      <c r="M488" s="14"/>
    </row>
    <row r="489" ht="12.5" spans="12:13">
      <c r="L489" s="14"/>
      <c r="M489" s="14"/>
    </row>
    <row r="490" ht="12.5" spans="12:13">
      <c r="L490" s="14"/>
      <c r="M490" s="14"/>
    </row>
    <row r="491" ht="12.5" spans="12:13">
      <c r="L491" s="14"/>
      <c r="M491" s="14"/>
    </row>
    <row r="492" ht="12.5" spans="12:13">
      <c r="L492" s="14"/>
      <c r="M492" s="14"/>
    </row>
    <row r="493" ht="12.5" spans="12:13">
      <c r="L493" s="14"/>
      <c r="M493" s="14"/>
    </row>
    <row r="494" ht="12.5" spans="12:13">
      <c r="L494" s="14"/>
      <c r="M494" s="14"/>
    </row>
    <row r="495" ht="12.5" spans="12:13">
      <c r="L495" s="14"/>
      <c r="M495" s="14"/>
    </row>
    <row r="496" ht="12.5" spans="12:13">
      <c r="L496" s="14"/>
      <c r="M496" s="14"/>
    </row>
    <row r="497" ht="12.5" spans="12:13">
      <c r="L497" s="14"/>
      <c r="M497" s="14"/>
    </row>
    <row r="498" ht="12.5" spans="12:13">
      <c r="L498" s="14"/>
      <c r="M498" s="14"/>
    </row>
    <row r="499" ht="12.5" spans="12:13">
      <c r="L499" s="14"/>
      <c r="M499" s="14"/>
    </row>
    <row r="500" ht="12.5" spans="12:13">
      <c r="L500" s="14"/>
      <c r="M500" s="14"/>
    </row>
    <row r="501" ht="12.5" spans="12:13">
      <c r="L501" s="14"/>
      <c r="M501" s="14"/>
    </row>
    <row r="502" ht="12.5" spans="12:13">
      <c r="L502" s="14"/>
      <c r="M502" s="14"/>
    </row>
    <row r="503" ht="12.5" spans="12:13">
      <c r="L503" s="14"/>
      <c r="M503" s="14"/>
    </row>
    <row r="504" ht="12.5" spans="12:13">
      <c r="L504" s="14"/>
      <c r="M504" s="14"/>
    </row>
    <row r="505" ht="12.5" spans="12:13">
      <c r="L505" s="14"/>
      <c r="M505" s="14"/>
    </row>
    <row r="506" ht="12.5" spans="12:13">
      <c r="L506" s="14"/>
      <c r="M506" s="14"/>
    </row>
    <row r="507" ht="12.5" spans="12:13">
      <c r="L507" s="14"/>
      <c r="M507" s="14"/>
    </row>
    <row r="508" ht="12.5" spans="12:13">
      <c r="L508" s="14"/>
      <c r="M508" s="14"/>
    </row>
    <row r="509" ht="12.5" spans="12:13">
      <c r="L509" s="14"/>
      <c r="M509" s="14"/>
    </row>
    <row r="510" ht="12.5" spans="12:13">
      <c r="L510" s="14"/>
      <c r="M510" s="14"/>
    </row>
    <row r="511" ht="12.5" spans="12:13">
      <c r="L511" s="14"/>
      <c r="M511" s="14"/>
    </row>
    <row r="512" ht="12.5" spans="12:13">
      <c r="L512" s="14"/>
      <c r="M512" s="14"/>
    </row>
    <row r="513" ht="12.5" spans="12:13">
      <c r="L513" s="14"/>
      <c r="M513" s="14"/>
    </row>
    <row r="514" ht="12.5" spans="12:13">
      <c r="L514" s="14"/>
      <c r="M514" s="14"/>
    </row>
    <row r="515" ht="12.5" spans="12:13">
      <c r="L515" s="14"/>
      <c r="M515" s="14"/>
    </row>
    <row r="516" ht="12.5" spans="12:13">
      <c r="L516" s="14"/>
      <c r="M516" s="14"/>
    </row>
    <row r="517" ht="12.5" spans="12:13">
      <c r="L517" s="14"/>
      <c r="M517" s="14"/>
    </row>
    <row r="518" ht="12.5" spans="12:13">
      <c r="L518" s="14"/>
      <c r="M518" s="14"/>
    </row>
    <row r="519" ht="12.5" spans="12:13">
      <c r="L519" s="14"/>
      <c r="M519" s="14"/>
    </row>
    <row r="520" ht="12.5" spans="12:13">
      <c r="L520" s="14"/>
      <c r="M520" s="14"/>
    </row>
    <row r="521" ht="12.5" spans="12:13">
      <c r="L521" s="14"/>
      <c r="M521" s="14"/>
    </row>
    <row r="522" ht="12.5" spans="12:13">
      <c r="L522" s="14"/>
      <c r="M522" s="14"/>
    </row>
    <row r="523" ht="12.5" spans="12:13">
      <c r="L523" s="14"/>
      <c r="M523" s="14"/>
    </row>
    <row r="524" ht="12.5" spans="12:13">
      <c r="L524" s="14"/>
      <c r="M524" s="14"/>
    </row>
    <row r="525" ht="12.5" spans="12:13">
      <c r="L525" s="14"/>
      <c r="M525" s="14"/>
    </row>
    <row r="526" ht="12.5" spans="12:13">
      <c r="L526" s="14"/>
      <c r="M526" s="14"/>
    </row>
    <row r="527" ht="12.5" spans="12:13">
      <c r="L527" s="14"/>
      <c r="M527" s="14"/>
    </row>
    <row r="528" ht="12.5" spans="12:13">
      <c r="L528" s="14"/>
      <c r="M528" s="14"/>
    </row>
    <row r="529" ht="12.5" spans="12:13">
      <c r="L529" s="14"/>
      <c r="M529" s="14"/>
    </row>
    <row r="530" ht="12.5" spans="12:13">
      <c r="L530" s="14"/>
      <c r="M530" s="14"/>
    </row>
    <row r="531" ht="12.5" spans="12:13">
      <c r="L531" s="14"/>
      <c r="M531" s="14"/>
    </row>
    <row r="532" ht="12.5" spans="12:13">
      <c r="L532" s="14"/>
      <c r="M532" s="14"/>
    </row>
    <row r="533" ht="12.5" spans="12:13">
      <c r="L533" s="14"/>
      <c r="M533" s="14"/>
    </row>
    <row r="534" ht="12.5" spans="12:13">
      <c r="L534" s="14"/>
      <c r="M534" s="14"/>
    </row>
    <row r="535" ht="12.5" spans="12:13">
      <c r="L535" s="14"/>
      <c r="M535" s="14"/>
    </row>
    <row r="536" ht="12.5" spans="12:13">
      <c r="L536" s="14"/>
      <c r="M536" s="14"/>
    </row>
    <row r="537" ht="12.5" spans="12:13">
      <c r="L537" s="14"/>
      <c r="M537" s="14"/>
    </row>
    <row r="538" ht="12.5" spans="12:13">
      <c r="L538" s="14"/>
      <c r="M538" s="14"/>
    </row>
    <row r="539" ht="12.5" spans="12:13">
      <c r="L539" s="14"/>
      <c r="M539" s="14"/>
    </row>
    <row r="540" ht="12.5" spans="12:13">
      <c r="L540" s="14"/>
      <c r="M540" s="14"/>
    </row>
    <row r="541" ht="12.5" spans="12:13">
      <c r="L541" s="14"/>
      <c r="M541" s="14"/>
    </row>
    <row r="542" ht="12.5" spans="12:13">
      <c r="L542" s="14"/>
      <c r="M542" s="14"/>
    </row>
    <row r="543" ht="12.5" spans="12:13">
      <c r="L543" s="14"/>
      <c r="M543" s="14"/>
    </row>
    <row r="544" ht="12.5" spans="12:13">
      <c r="L544" s="14"/>
      <c r="M544" s="14"/>
    </row>
    <row r="545" ht="12.5" spans="12:13">
      <c r="L545" s="14"/>
      <c r="M545" s="14"/>
    </row>
    <row r="546" ht="12.5" spans="12:13">
      <c r="L546" s="14"/>
      <c r="M546" s="14"/>
    </row>
    <row r="547" ht="12.5" spans="12:13">
      <c r="L547" s="14"/>
      <c r="M547" s="14"/>
    </row>
    <row r="548" ht="12.5" spans="12:13">
      <c r="L548" s="14"/>
      <c r="M548" s="14"/>
    </row>
    <row r="549" ht="12.5" spans="12:13">
      <c r="L549" s="14"/>
      <c r="M549" s="14"/>
    </row>
    <row r="550" ht="12.5" spans="12:13">
      <c r="L550" s="14"/>
      <c r="M550" s="14"/>
    </row>
    <row r="551" ht="12.5" spans="12:13">
      <c r="L551" s="14"/>
      <c r="M551" s="14"/>
    </row>
    <row r="552" ht="12.5" spans="12:13">
      <c r="L552" s="14"/>
      <c r="M552" s="14"/>
    </row>
    <row r="553" ht="12.5" spans="12:13">
      <c r="L553" s="14"/>
      <c r="M553" s="14"/>
    </row>
    <row r="554" ht="12.5" spans="12:13">
      <c r="L554" s="14"/>
      <c r="M554" s="14"/>
    </row>
    <row r="555" ht="12.5" spans="12:13">
      <c r="L555" s="14"/>
      <c r="M555" s="14"/>
    </row>
    <row r="556" ht="12.5" spans="12:13">
      <c r="L556" s="14"/>
      <c r="M556" s="14"/>
    </row>
    <row r="557" ht="12.5" spans="12:13">
      <c r="L557" s="14"/>
      <c r="M557" s="14"/>
    </row>
    <row r="558" ht="12.5" spans="12:13">
      <c r="L558" s="14"/>
      <c r="M558" s="14"/>
    </row>
    <row r="559" ht="12.5" spans="12:13">
      <c r="L559" s="14"/>
      <c r="M559" s="14"/>
    </row>
    <row r="560" ht="12.5" spans="12:13">
      <c r="L560" s="14"/>
      <c r="M560" s="14"/>
    </row>
    <row r="561" ht="12.5" spans="12:13">
      <c r="L561" s="14"/>
      <c r="M561" s="14"/>
    </row>
    <row r="562" ht="12.5" spans="12:13">
      <c r="L562" s="14"/>
      <c r="M562" s="14"/>
    </row>
    <row r="563" ht="12.5" spans="12:13">
      <c r="L563" s="14"/>
      <c r="M563" s="14"/>
    </row>
    <row r="564" ht="12.5" spans="12:13">
      <c r="L564" s="14"/>
      <c r="M564" s="14"/>
    </row>
    <row r="565" ht="12.5" spans="12:13">
      <c r="L565" s="14"/>
      <c r="M565" s="14"/>
    </row>
    <row r="566" ht="12.5" spans="12:13">
      <c r="L566" s="14"/>
      <c r="M566" s="14"/>
    </row>
    <row r="567" ht="12.5" spans="12:13">
      <c r="L567" s="14"/>
      <c r="M567" s="14"/>
    </row>
    <row r="568" ht="12.5" spans="12:13">
      <c r="L568" s="14"/>
      <c r="M568" s="14"/>
    </row>
    <row r="569" ht="12.5" spans="12:13">
      <c r="L569" s="14"/>
      <c r="M569" s="14"/>
    </row>
    <row r="570" ht="12.5" spans="12:13">
      <c r="L570" s="14"/>
      <c r="M570" s="14"/>
    </row>
    <row r="571" ht="12.5" spans="12:13">
      <c r="L571" s="14"/>
      <c r="M571" s="14"/>
    </row>
    <row r="572" ht="12.5" spans="12:13">
      <c r="L572" s="14"/>
      <c r="M572" s="14"/>
    </row>
    <row r="573" ht="12.5" spans="12:13">
      <c r="L573" s="14"/>
      <c r="M573" s="14"/>
    </row>
    <row r="574" ht="12.5" spans="12:13">
      <c r="L574" s="14"/>
      <c r="M574" s="14"/>
    </row>
    <row r="575" ht="12.5" spans="12:13">
      <c r="L575" s="14"/>
      <c r="M575" s="14"/>
    </row>
    <row r="576" ht="12.5" spans="12:13">
      <c r="L576" s="14"/>
      <c r="M576" s="14"/>
    </row>
    <row r="577" ht="12.5" spans="12:13">
      <c r="L577" s="14"/>
      <c r="M577" s="14"/>
    </row>
    <row r="578" ht="12.5" spans="12:13">
      <c r="L578" s="14"/>
      <c r="M578" s="14"/>
    </row>
    <row r="579" ht="12.5" spans="12:13">
      <c r="L579" s="14"/>
      <c r="M579" s="14"/>
    </row>
    <row r="580" ht="12.5" spans="12:13">
      <c r="L580" s="14"/>
      <c r="M580" s="14"/>
    </row>
    <row r="581" ht="12.5" spans="12:13">
      <c r="L581" s="14"/>
      <c r="M581" s="14"/>
    </row>
    <row r="582" ht="12.5" spans="12:13">
      <c r="L582" s="14"/>
      <c r="M582" s="14"/>
    </row>
    <row r="583" ht="12.5" spans="12:13">
      <c r="L583" s="14"/>
      <c r="M583" s="14"/>
    </row>
    <row r="584" ht="12.5" spans="12:13">
      <c r="L584" s="14"/>
      <c r="M584" s="14"/>
    </row>
    <row r="585" ht="12.5" spans="12:13">
      <c r="L585" s="14"/>
      <c r="M585" s="14"/>
    </row>
    <row r="586" ht="12.5" spans="12:13">
      <c r="L586" s="14"/>
      <c r="M586" s="14"/>
    </row>
    <row r="587" ht="12.5" spans="12:13">
      <c r="L587" s="14"/>
      <c r="M587" s="14"/>
    </row>
    <row r="588" ht="12.5" spans="12:13">
      <c r="L588" s="14"/>
      <c r="M588" s="14"/>
    </row>
    <row r="589" ht="12.5" spans="12:13">
      <c r="L589" s="14"/>
      <c r="M589" s="14"/>
    </row>
    <row r="590" ht="12.5" spans="12:13">
      <c r="L590" s="14"/>
      <c r="M590" s="14"/>
    </row>
    <row r="591" ht="12.5" spans="12:13">
      <c r="L591" s="14"/>
      <c r="M591" s="14"/>
    </row>
    <row r="592" ht="12.5" spans="12:13">
      <c r="L592" s="14"/>
      <c r="M592" s="14"/>
    </row>
    <row r="593" ht="12.5" spans="12:13">
      <c r="L593" s="14"/>
      <c r="M593" s="14"/>
    </row>
    <row r="594" ht="12.5" spans="12:13">
      <c r="L594" s="14"/>
      <c r="M594" s="14"/>
    </row>
    <row r="595" ht="12.5" spans="12:13">
      <c r="L595" s="14"/>
      <c r="M595" s="14"/>
    </row>
    <row r="596" ht="12.5" spans="12:13">
      <c r="L596" s="14"/>
      <c r="M596" s="14"/>
    </row>
    <row r="597" ht="12.5" spans="12:13">
      <c r="L597" s="14"/>
      <c r="M597" s="14"/>
    </row>
    <row r="598" ht="12.5" spans="12:13">
      <c r="L598" s="14"/>
      <c r="M598" s="14"/>
    </row>
    <row r="599" ht="12.5" spans="12:13">
      <c r="L599" s="14"/>
      <c r="M599" s="14"/>
    </row>
    <row r="600" ht="12.5" spans="12:13">
      <c r="L600" s="14"/>
      <c r="M600" s="14"/>
    </row>
    <row r="601" ht="12.5" spans="12:13">
      <c r="L601" s="14"/>
      <c r="M601" s="14"/>
    </row>
    <row r="602" ht="12.5" spans="12:13">
      <c r="L602" s="14"/>
      <c r="M602" s="14"/>
    </row>
    <row r="603" ht="12.5" spans="12:13">
      <c r="L603" s="14"/>
      <c r="M603" s="14"/>
    </row>
    <row r="604" ht="12.5" spans="12:13">
      <c r="L604" s="14"/>
      <c r="M604" s="14"/>
    </row>
    <row r="605" ht="12.5" spans="12:13">
      <c r="L605" s="14"/>
      <c r="M605" s="14"/>
    </row>
    <row r="606" ht="12.5" spans="12:13">
      <c r="L606" s="14"/>
      <c r="M606" s="14"/>
    </row>
    <row r="607" ht="12.5" spans="12:13">
      <c r="L607" s="14"/>
      <c r="M607" s="14"/>
    </row>
    <row r="608" ht="12.5" spans="12:13">
      <c r="L608" s="14"/>
      <c r="M608" s="14"/>
    </row>
    <row r="609" ht="12.5" spans="12:13">
      <c r="L609" s="14"/>
      <c r="M609" s="14"/>
    </row>
    <row r="610" ht="12.5" spans="12:13">
      <c r="L610" s="14"/>
      <c r="M610" s="14"/>
    </row>
    <row r="611" ht="12.5" spans="12:13">
      <c r="L611" s="14"/>
      <c r="M611" s="14"/>
    </row>
    <row r="612" ht="12.5" spans="12:13">
      <c r="L612" s="14"/>
      <c r="M612" s="14"/>
    </row>
    <row r="613" ht="12.5" spans="12:13">
      <c r="L613" s="14"/>
      <c r="M613" s="14"/>
    </row>
    <row r="614" ht="12.5" spans="12:13">
      <c r="L614" s="14"/>
      <c r="M614" s="14"/>
    </row>
    <row r="615" ht="12.5" spans="12:13">
      <c r="L615" s="14"/>
      <c r="M615" s="14"/>
    </row>
    <row r="616" ht="12.5" spans="12:13">
      <c r="L616" s="14"/>
      <c r="M616" s="14"/>
    </row>
    <row r="617" ht="12.5" spans="12:13">
      <c r="L617" s="14"/>
      <c r="M617" s="14"/>
    </row>
    <row r="618" ht="12.5" spans="12:13">
      <c r="L618" s="14"/>
      <c r="M618" s="14"/>
    </row>
    <row r="619" ht="12.5" spans="12:13">
      <c r="L619" s="14"/>
      <c r="M619" s="14"/>
    </row>
    <row r="620" ht="12.5" spans="12:13">
      <c r="L620" s="14"/>
      <c r="M620" s="14"/>
    </row>
    <row r="621" ht="12.5" spans="12:13">
      <c r="L621" s="14"/>
      <c r="M621" s="14"/>
    </row>
    <row r="622" ht="12.5" spans="12:13">
      <c r="L622" s="14"/>
      <c r="M622" s="14"/>
    </row>
    <row r="623" ht="12.5" spans="12:13">
      <c r="L623" s="14"/>
      <c r="M623" s="14"/>
    </row>
    <row r="624" ht="12.5" spans="12:13">
      <c r="L624" s="14"/>
      <c r="M624" s="14"/>
    </row>
    <row r="625" ht="12.5" spans="12:13">
      <c r="L625" s="14"/>
      <c r="M625" s="14"/>
    </row>
    <row r="626" ht="12.5" spans="12:13">
      <c r="L626" s="14"/>
      <c r="M626" s="14"/>
    </row>
    <row r="627" ht="12.5" spans="12:13">
      <c r="L627" s="14"/>
      <c r="M627" s="14"/>
    </row>
    <row r="628" ht="12.5" spans="12:13">
      <c r="L628" s="14"/>
      <c r="M628" s="14"/>
    </row>
    <row r="629" ht="12.5" spans="12:13">
      <c r="L629" s="14"/>
      <c r="M629" s="14"/>
    </row>
    <row r="630" ht="12.5" spans="12:13">
      <c r="L630" s="14"/>
      <c r="M630" s="14"/>
    </row>
    <row r="631" ht="12.5" spans="12:13">
      <c r="L631" s="14"/>
      <c r="M631" s="14"/>
    </row>
    <row r="632" ht="12.5" spans="12:13">
      <c r="L632" s="14"/>
      <c r="M632" s="14"/>
    </row>
    <row r="633" ht="12.5" spans="12:13">
      <c r="L633" s="14"/>
      <c r="M633" s="14"/>
    </row>
    <row r="634" ht="12.5" spans="12:13">
      <c r="L634" s="14"/>
      <c r="M634" s="14"/>
    </row>
    <row r="635" ht="12.5" spans="12:13">
      <c r="L635" s="14"/>
      <c r="M635" s="14"/>
    </row>
    <row r="636" ht="12.5" spans="12:13">
      <c r="L636" s="14"/>
      <c r="M636" s="14"/>
    </row>
    <row r="637" ht="12.5" spans="12:13">
      <c r="L637" s="14"/>
      <c r="M637" s="14"/>
    </row>
    <row r="638" ht="12.5" spans="12:13">
      <c r="L638" s="14"/>
      <c r="M638" s="14"/>
    </row>
    <row r="639" ht="12.5" spans="12:13">
      <c r="L639" s="14"/>
      <c r="M639" s="14"/>
    </row>
    <row r="640" ht="12.5" spans="12:13">
      <c r="L640" s="14"/>
      <c r="M640" s="14"/>
    </row>
    <row r="641" ht="12.5" spans="12:13">
      <c r="L641" s="14"/>
      <c r="M641" s="14"/>
    </row>
    <row r="642" ht="12.5" spans="12:13">
      <c r="L642" s="14"/>
      <c r="M642" s="14"/>
    </row>
    <row r="643" ht="12.5" spans="12:13">
      <c r="L643" s="14"/>
      <c r="M643" s="14"/>
    </row>
    <row r="644" ht="12.5" spans="12:13">
      <c r="L644" s="14"/>
      <c r="M644" s="14"/>
    </row>
    <row r="645" ht="12.5" spans="12:13">
      <c r="L645" s="14"/>
      <c r="M645" s="14"/>
    </row>
    <row r="646" ht="12.5" spans="12:13">
      <c r="L646" s="14"/>
      <c r="M646" s="14"/>
    </row>
    <row r="647" ht="12.5" spans="12:13">
      <c r="L647" s="14"/>
      <c r="M647" s="14"/>
    </row>
    <row r="648" ht="12.5" spans="12:13">
      <c r="L648" s="14"/>
      <c r="M648" s="14"/>
    </row>
    <row r="649" ht="12.5" spans="12:13">
      <c r="L649" s="14"/>
      <c r="M649" s="14"/>
    </row>
    <row r="650" ht="12.5" spans="12:13">
      <c r="L650" s="14"/>
      <c r="M650" s="14"/>
    </row>
    <row r="651" ht="12.5" spans="12:13">
      <c r="L651" s="14"/>
      <c r="M651" s="14"/>
    </row>
    <row r="652" ht="12.5" spans="12:13">
      <c r="L652" s="14"/>
      <c r="M652" s="14"/>
    </row>
    <row r="653" ht="12.5" spans="12:13">
      <c r="L653" s="14"/>
      <c r="M653" s="14"/>
    </row>
    <row r="654" ht="12.5" spans="12:13">
      <c r="L654" s="14"/>
      <c r="M654" s="14"/>
    </row>
    <row r="655" ht="12.5" spans="12:13">
      <c r="L655" s="14"/>
      <c r="M655" s="14"/>
    </row>
    <row r="656" ht="12.5" spans="12:13">
      <c r="L656" s="14"/>
      <c r="M656" s="14"/>
    </row>
    <row r="657" ht="12.5" spans="12:13">
      <c r="L657" s="14"/>
      <c r="M657" s="14"/>
    </row>
    <row r="658" ht="12.5" spans="12:13">
      <c r="L658" s="14"/>
      <c r="M658" s="14"/>
    </row>
    <row r="659" ht="12.5" spans="12:13">
      <c r="L659" s="14"/>
      <c r="M659" s="14"/>
    </row>
    <row r="660" ht="12.5" spans="12:13">
      <c r="L660" s="14"/>
      <c r="M660" s="14"/>
    </row>
    <row r="661" ht="12.5" spans="12:13">
      <c r="L661" s="14"/>
      <c r="M661" s="14"/>
    </row>
    <row r="662" ht="12.5" spans="12:13">
      <c r="L662" s="14"/>
      <c r="M662" s="14"/>
    </row>
    <row r="663" ht="12.5" spans="12:13">
      <c r="L663" s="14"/>
      <c r="M663" s="14"/>
    </row>
    <row r="664" ht="12.5" spans="12:13">
      <c r="L664" s="14"/>
      <c r="M664" s="14"/>
    </row>
    <row r="665" ht="12.5" spans="12:13">
      <c r="L665" s="14"/>
      <c r="M665" s="14"/>
    </row>
    <row r="666" ht="12.5" spans="12:13">
      <c r="L666" s="14"/>
      <c r="M666" s="14"/>
    </row>
    <row r="667" ht="12.5" spans="12:13">
      <c r="L667" s="14"/>
      <c r="M667" s="14"/>
    </row>
    <row r="668" ht="12.5" spans="12:13">
      <c r="L668" s="14"/>
      <c r="M668" s="14"/>
    </row>
    <row r="669" ht="12.5" spans="12:13">
      <c r="L669" s="14"/>
      <c r="M669" s="14"/>
    </row>
    <row r="670" ht="12.5" spans="12:13">
      <c r="L670" s="14"/>
      <c r="M670" s="14"/>
    </row>
    <row r="671" ht="12.5" spans="12:13">
      <c r="L671" s="14"/>
      <c r="M671" s="14"/>
    </row>
    <row r="672" ht="12.5" spans="12:13">
      <c r="L672" s="14"/>
      <c r="M672" s="14"/>
    </row>
    <row r="673" ht="12.5" spans="12:13">
      <c r="L673" s="14"/>
      <c r="M673" s="14"/>
    </row>
    <row r="674" ht="12.5" spans="12:13">
      <c r="L674" s="14"/>
      <c r="M674" s="14"/>
    </row>
    <row r="675" ht="12.5" spans="12:13">
      <c r="L675" s="14"/>
      <c r="M675" s="14"/>
    </row>
    <row r="676" ht="12.5" spans="12:13">
      <c r="L676" s="14"/>
      <c r="M676" s="14"/>
    </row>
    <row r="677" ht="12.5" spans="12:13">
      <c r="L677" s="14"/>
      <c r="M677" s="14"/>
    </row>
    <row r="678" ht="12.5" spans="12:13">
      <c r="L678" s="14"/>
      <c r="M678" s="14"/>
    </row>
    <row r="679" ht="12.5" spans="12:13">
      <c r="L679" s="14"/>
      <c r="M679" s="14"/>
    </row>
    <row r="680" ht="12.5" spans="12:13">
      <c r="L680" s="14"/>
      <c r="M680" s="14"/>
    </row>
    <row r="681" ht="12.5" spans="12:13">
      <c r="L681" s="14"/>
      <c r="M681" s="14"/>
    </row>
    <row r="682" ht="12.5" spans="12:13">
      <c r="L682" s="14"/>
      <c r="M682" s="14"/>
    </row>
    <row r="683" ht="12.5" spans="12:13">
      <c r="L683" s="14"/>
      <c r="M683" s="14"/>
    </row>
    <row r="684" ht="12.5" spans="12:13">
      <c r="L684" s="14"/>
      <c r="M684" s="14"/>
    </row>
    <row r="685" ht="12.5" spans="12:13">
      <c r="L685" s="14"/>
      <c r="M685" s="14"/>
    </row>
    <row r="686" ht="12.5" spans="12:13">
      <c r="L686" s="14"/>
      <c r="M686" s="14"/>
    </row>
    <row r="687" ht="12.5" spans="12:13">
      <c r="L687" s="14"/>
      <c r="M687" s="14"/>
    </row>
    <row r="688" ht="12.5" spans="12:13">
      <c r="L688" s="14"/>
      <c r="M688" s="14"/>
    </row>
    <row r="689" ht="12.5" spans="12:13">
      <c r="L689" s="14"/>
      <c r="M689" s="14"/>
    </row>
    <row r="690" ht="12.5" spans="12:13">
      <c r="L690" s="14"/>
      <c r="M690" s="14"/>
    </row>
    <row r="691" ht="12.5" spans="12:13">
      <c r="L691" s="14"/>
      <c r="M691" s="14"/>
    </row>
    <row r="692" ht="12.5" spans="12:13">
      <c r="L692" s="14"/>
      <c r="M692" s="14"/>
    </row>
    <row r="693" ht="12.5" spans="12:13">
      <c r="L693" s="14"/>
      <c r="M693" s="14"/>
    </row>
    <row r="694" ht="12.5" spans="12:13">
      <c r="L694" s="14"/>
      <c r="M694" s="14"/>
    </row>
    <row r="695" ht="12.5" spans="12:13">
      <c r="L695" s="14"/>
      <c r="M695" s="14"/>
    </row>
    <row r="696" ht="12.5" spans="12:13">
      <c r="L696" s="14"/>
      <c r="M696" s="14"/>
    </row>
    <row r="697" ht="12.5" spans="12:13">
      <c r="L697" s="14"/>
      <c r="M697" s="14"/>
    </row>
    <row r="698" ht="12.5" spans="12:13">
      <c r="L698" s="14"/>
      <c r="M698" s="14"/>
    </row>
    <row r="699" ht="12.5" spans="12:13">
      <c r="L699" s="14"/>
      <c r="M699" s="14"/>
    </row>
    <row r="700" ht="12.5" spans="12:13">
      <c r="L700" s="14"/>
      <c r="M700" s="14"/>
    </row>
    <row r="701" ht="12.5" spans="12:13">
      <c r="L701" s="14"/>
      <c r="M701" s="14"/>
    </row>
    <row r="702" ht="12.5" spans="12:13">
      <c r="L702" s="14"/>
      <c r="M702" s="14"/>
    </row>
    <row r="703" ht="12.5" spans="12:13">
      <c r="L703" s="14"/>
      <c r="M703" s="14"/>
    </row>
    <row r="704" ht="12.5" spans="12:13">
      <c r="L704" s="14"/>
      <c r="M704" s="14"/>
    </row>
    <row r="705" ht="12.5" spans="12:13">
      <c r="L705" s="14"/>
      <c r="M705" s="14"/>
    </row>
    <row r="706" ht="12.5" spans="12:13">
      <c r="L706" s="14"/>
      <c r="M706" s="14"/>
    </row>
    <row r="707" ht="12.5" spans="12:13">
      <c r="L707" s="14"/>
      <c r="M707" s="14"/>
    </row>
    <row r="708" ht="12.5" spans="12:13">
      <c r="L708" s="14"/>
      <c r="M708" s="14"/>
    </row>
    <row r="709" ht="12.5" spans="12:13">
      <c r="L709" s="14"/>
      <c r="M709" s="14"/>
    </row>
    <row r="710" ht="12.5" spans="12:13">
      <c r="L710" s="14"/>
      <c r="M710" s="14"/>
    </row>
    <row r="711" ht="12.5" spans="12:13">
      <c r="L711" s="14"/>
      <c r="M711" s="14"/>
    </row>
    <row r="712" ht="12.5" spans="12:13">
      <c r="L712" s="14"/>
      <c r="M712" s="14"/>
    </row>
    <row r="713" ht="12.5" spans="12:13">
      <c r="L713" s="14"/>
      <c r="M713" s="14"/>
    </row>
    <row r="714" ht="12.5" spans="12:13">
      <c r="L714" s="14"/>
      <c r="M714" s="14"/>
    </row>
    <row r="715" ht="12.5" spans="12:13">
      <c r="L715" s="14"/>
      <c r="M715" s="14"/>
    </row>
    <row r="716" ht="12.5" spans="12:13">
      <c r="L716" s="14"/>
      <c r="M716" s="14"/>
    </row>
    <row r="717" ht="12.5" spans="12:13">
      <c r="L717" s="14"/>
      <c r="M717" s="14"/>
    </row>
    <row r="718" ht="12.5" spans="12:13">
      <c r="L718" s="14"/>
      <c r="M718" s="14"/>
    </row>
    <row r="719" ht="12.5" spans="12:13">
      <c r="L719" s="14"/>
      <c r="M719" s="14"/>
    </row>
    <row r="720" ht="12.5" spans="12:13">
      <c r="L720" s="14"/>
      <c r="M720" s="14"/>
    </row>
    <row r="721" ht="12.5" spans="12:13">
      <c r="L721" s="14"/>
      <c r="M721" s="14"/>
    </row>
    <row r="722" ht="12.5" spans="12:13">
      <c r="L722" s="14"/>
      <c r="M722" s="14"/>
    </row>
    <row r="723" ht="12.5" spans="12:13">
      <c r="L723" s="14"/>
      <c r="M723" s="14"/>
    </row>
    <row r="724" ht="12.5" spans="12:13">
      <c r="L724" s="14"/>
      <c r="M724" s="14"/>
    </row>
    <row r="725" ht="12.5" spans="12:13">
      <c r="L725" s="14"/>
      <c r="M725" s="14"/>
    </row>
    <row r="726" ht="12.5" spans="12:13">
      <c r="L726" s="14"/>
      <c r="M726" s="14"/>
    </row>
    <row r="727" ht="12.5" spans="12:13">
      <c r="L727" s="14"/>
      <c r="M727" s="14"/>
    </row>
    <row r="728" ht="12.5" spans="12:13">
      <c r="L728" s="14"/>
      <c r="M728" s="14"/>
    </row>
    <row r="729" ht="12.5" spans="12:13">
      <c r="L729" s="14"/>
      <c r="M729" s="14"/>
    </row>
    <row r="730" ht="12.5" spans="12:13">
      <c r="L730" s="14"/>
      <c r="M730" s="14"/>
    </row>
    <row r="731" ht="12.5" spans="12:13">
      <c r="L731" s="14"/>
      <c r="M731" s="14"/>
    </row>
    <row r="732" ht="12.5" spans="12:13">
      <c r="L732" s="14"/>
      <c r="M732" s="14"/>
    </row>
    <row r="733" ht="12.5" spans="12:13">
      <c r="L733" s="14"/>
      <c r="M733" s="14"/>
    </row>
    <row r="734" ht="12.5" spans="12:13">
      <c r="L734" s="14"/>
      <c r="M734" s="14"/>
    </row>
    <row r="735" ht="12.5" spans="12:13">
      <c r="L735" s="14"/>
      <c r="M735" s="14"/>
    </row>
    <row r="736" ht="12.5" spans="12:13">
      <c r="L736" s="14"/>
      <c r="M736" s="14"/>
    </row>
    <row r="737" ht="12.5" spans="12:13">
      <c r="L737" s="14"/>
      <c r="M737" s="14"/>
    </row>
    <row r="738" ht="12.5" spans="12:13">
      <c r="L738" s="14"/>
      <c r="M738" s="14"/>
    </row>
    <row r="739" ht="12.5" spans="12:13">
      <c r="L739" s="14"/>
      <c r="M739" s="14"/>
    </row>
    <row r="740" ht="12.5" spans="12:13">
      <c r="L740" s="14"/>
      <c r="M740" s="14"/>
    </row>
    <row r="741" ht="12.5" spans="12:13">
      <c r="L741" s="14"/>
      <c r="M741" s="14"/>
    </row>
    <row r="742" ht="12.5" spans="12:13">
      <c r="L742" s="14"/>
      <c r="M742" s="14"/>
    </row>
    <row r="743" ht="12.5" spans="12:13">
      <c r="L743" s="14"/>
      <c r="M743" s="14"/>
    </row>
    <row r="744" ht="12.5" spans="12:13">
      <c r="L744" s="14"/>
      <c r="M744" s="14"/>
    </row>
    <row r="745" ht="12.5" spans="12:13">
      <c r="L745" s="14"/>
      <c r="M745" s="14"/>
    </row>
    <row r="746" ht="12.5" spans="12:13">
      <c r="L746" s="14"/>
      <c r="M746" s="14"/>
    </row>
    <row r="747" ht="12.5" spans="12:13">
      <c r="L747" s="14"/>
      <c r="M747" s="14"/>
    </row>
    <row r="748" ht="12.5" spans="12:13">
      <c r="L748" s="14"/>
      <c r="M748" s="14"/>
    </row>
    <row r="749" ht="12.5" spans="12:13">
      <c r="L749" s="14"/>
      <c r="M749" s="14"/>
    </row>
    <row r="750" ht="12.5" spans="12:13">
      <c r="L750" s="14"/>
      <c r="M750" s="14"/>
    </row>
    <row r="751" ht="12.5" spans="12:13">
      <c r="L751" s="14"/>
      <c r="M751" s="14"/>
    </row>
    <row r="752" ht="12.5" spans="12:13">
      <c r="L752" s="14"/>
      <c r="M752" s="14"/>
    </row>
    <row r="753" ht="12.5" spans="12:13">
      <c r="L753" s="14"/>
      <c r="M753" s="14"/>
    </row>
    <row r="754" ht="12.5" spans="12:13">
      <c r="L754" s="14"/>
      <c r="M754" s="14"/>
    </row>
    <row r="755" ht="12.5" spans="12:13">
      <c r="L755" s="14"/>
      <c r="M755" s="14"/>
    </row>
    <row r="756" ht="12.5" spans="12:13">
      <c r="L756" s="14"/>
      <c r="M756" s="14"/>
    </row>
    <row r="757" ht="12.5" spans="12:13">
      <c r="L757" s="14"/>
      <c r="M757" s="14"/>
    </row>
    <row r="758" ht="12.5" spans="12:13">
      <c r="L758" s="14"/>
      <c r="M758" s="14"/>
    </row>
    <row r="759" ht="12.5" spans="12:13">
      <c r="L759" s="14"/>
      <c r="M759" s="14"/>
    </row>
    <row r="760" ht="12.5" spans="12:13">
      <c r="L760" s="14"/>
      <c r="M760" s="14"/>
    </row>
    <row r="761" ht="12.5" spans="12:13">
      <c r="L761" s="14"/>
      <c r="M761" s="14"/>
    </row>
    <row r="762" ht="12.5" spans="12:13">
      <c r="L762" s="14"/>
      <c r="M762" s="14"/>
    </row>
    <row r="763" ht="12.5" spans="12:13">
      <c r="L763" s="14"/>
      <c r="M763" s="14"/>
    </row>
    <row r="764" ht="12.5" spans="12:13">
      <c r="L764" s="14"/>
      <c r="M764" s="14"/>
    </row>
    <row r="765" ht="12.5" spans="12:13">
      <c r="L765" s="14"/>
      <c r="M765" s="14"/>
    </row>
    <row r="766" ht="12.5" spans="12:13">
      <c r="L766" s="14"/>
      <c r="M766" s="14"/>
    </row>
    <row r="767" ht="12.5" spans="12:13">
      <c r="L767" s="14"/>
      <c r="M767" s="14"/>
    </row>
    <row r="768" ht="12.5" spans="12:13">
      <c r="L768" s="14"/>
      <c r="M768" s="14"/>
    </row>
    <row r="769" ht="12.5" spans="12:13">
      <c r="L769" s="14"/>
      <c r="M769" s="14"/>
    </row>
    <row r="770" ht="12.5" spans="12:13">
      <c r="L770" s="14"/>
      <c r="M770" s="14"/>
    </row>
    <row r="771" ht="12.5" spans="12:13">
      <c r="L771" s="14"/>
      <c r="M771" s="14"/>
    </row>
    <row r="772" ht="12.5" spans="12:13">
      <c r="L772" s="14"/>
      <c r="M772" s="14"/>
    </row>
    <row r="773" ht="12.5" spans="12:13">
      <c r="L773" s="14"/>
      <c r="M773" s="14"/>
    </row>
    <row r="774" ht="12.5" spans="12:13">
      <c r="L774" s="14"/>
      <c r="M774" s="14"/>
    </row>
    <row r="775" ht="12.5" spans="12:13">
      <c r="L775" s="14"/>
      <c r="M775" s="14"/>
    </row>
    <row r="776" ht="12.5" spans="12:13">
      <c r="L776" s="14"/>
      <c r="M776" s="14"/>
    </row>
    <row r="777" ht="12.5" spans="12:13">
      <c r="L777" s="14"/>
      <c r="M777" s="14"/>
    </row>
    <row r="778" ht="12.5" spans="12:13">
      <c r="L778" s="14"/>
      <c r="M778" s="14"/>
    </row>
    <row r="779" ht="12.5" spans="12:13">
      <c r="L779" s="14"/>
      <c r="M779" s="14"/>
    </row>
    <row r="780" ht="12.5" spans="12:13">
      <c r="L780" s="14"/>
      <c r="M780" s="14"/>
    </row>
    <row r="781" ht="12.5" spans="12:13">
      <c r="L781" s="14"/>
      <c r="M781" s="14"/>
    </row>
    <row r="782" ht="12.5" spans="12:13">
      <c r="L782" s="14"/>
      <c r="M782" s="14"/>
    </row>
    <row r="783" ht="12.5" spans="12:13">
      <c r="L783" s="14"/>
      <c r="M783" s="14"/>
    </row>
    <row r="784" ht="12.5" spans="12:13">
      <c r="L784" s="14"/>
      <c r="M784" s="14"/>
    </row>
    <row r="785" ht="12.5" spans="12:13">
      <c r="L785" s="14"/>
      <c r="M785" s="14"/>
    </row>
    <row r="786" ht="12.5" spans="12:13">
      <c r="L786" s="14"/>
      <c r="M786" s="14"/>
    </row>
    <row r="787" ht="12.5" spans="12:13">
      <c r="L787" s="14"/>
      <c r="M787" s="14"/>
    </row>
    <row r="788" ht="12.5" spans="12:13">
      <c r="L788" s="14"/>
      <c r="M788" s="14"/>
    </row>
    <row r="789" ht="12.5" spans="12:13">
      <c r="L789" s="14"/>
      <c r="M789" s="14"/>
    </row>
    <row r="790" ht="12.5" spans="12:13">
      <c r="L790" s="14"/>
      <c r="M790" s="14"/>
    </row>
    <row r="791" ht="12.5" spans="12:13">
      <c r="L791" s="14"/>
      <c r="M791" s="14"/>
    </row>
    <row r="792" ht="12.5" spans="12:13">
      <c r="L792" s="14"/>
      <c r="M792" s="14"/>
    </row>
    <row r="793" ht="12.5" spans="12:13">
      <c r="L793" s="14"/>
      <c r="M793" s="14"/>
    </row>
    <row r="794" ht="12.5" spans="12:13">
      <c r="L794" s="14"/>
      <c r="M794" s="14"/>
    </row>
    <row r="795" ht="12.5" spans="12:13">
      <c r="L795" s="14"/>
      <c r="M795" s="14"/>
    </row>
    <row r="796" ht="12.5" spans="12:13">
      <c r="L796" s="14"/>
      <c r="M796" s="14"/>
    </row>
    <row r="797" ht="12.5" spans="12:13">
      <c r="L797" s="14"/>
      <c r="M797" s="14"/>
    </row>
    <row r="798" ht="12.5" spans="12:13">
      <c r="L798" s="14"/>
      <c r="M798" s="14"/>
    </row>
    <row r="799" ht="12.5" spans="12:13">
      <c r="L799" s="14"/>
      <c r="M799" s="14"/>
    </row>
    <row r="800" ht="12.5" spans="12:13">
      <c r="L800" s="14"/>
      <c r="M800" s="14"/>
    </row>
    <row r="801" ht="12.5" spans="12:13">
      <c r="L801" s="14"/>
      <c r="M801" s="14"/>
    </row>
    <row r="802" ht="12.5" spans="12:13">
      <c r="L802" s="14"/>
      <c r="M802" s="14"/>
    </row>
    <row r="803" ht="12.5" spans="12:13">
      <c r="L803" s="14"/>
      <c r="M803" s="14"/>
    </row>
    <row r="804" ht="12.5" spans="12:13">
      <c r="L804" s="14"/>
      <c r="M804" s="14"/>
    </row>
    <row r="805" ht="12.5" spans="12:13">
      <c r="L805" s="14"/>
      <c r="M805" s="14"/>
    </row>
    <row r="806" ht="12.5" spans="12:13">
      <c r="L806" s="14"/>
      <c r="M806" s="14"/>
    </row>
    <row r="807" ht="12.5" spans="12:13">
      <c r="L807" s="14"/>
      <c r="M807" s="14"/>
    </row>
    <row r="808" ht="12.5" spans="12:13">
      <c r="L808" s="14"/>
      <c r="M808" s="14"/>
    </row>
    <row r="809" ht="12.5" spans="12:13">
      <c r="L809" s="14"/>
      <c r="M809" s="14"/>
    </row>
    <row r="810" ht="12.5" spans="12:13">
      <c r="L810" s="14"/>
      <c r="M810" s="14"/>
    </row>
    <row r="811" ht="12.5" spans="12:13">
      <c r="L811" s="14"/>
      <c r="M811" s="14"/>
    </row>
    <row r="812" ht="12.5" spans="12:13">
      <c r="L812" s="14"/>
      <c r="M812" s="14"/>
    </row>
    <row r="813" ht="12.5" spans="12:13">
      <c r="L813" s="14"/>
      <c r="M813" s="14"/>
    </row>
    <row r="814" ht="12.5" spans="12:13">
      <c r="L814" s="14"/>
      <c r="M814" s="14"/>
    </row>
    <row r="815" ht="12.5" spans="12:13">
      <c r="L815" s="14"/>
      <c r="M815" s="14"/>
    </row>
    <row r="816" ht="12.5" spans="12:13">
      <c r="L816" s="14"/>
      <c r="M816" s="14"/>
    </row>
    <row r="817" ht="12.5" spans="12:13">
      <c r="L817" s="14"/>
      <c r="M817" s="14"/>
    </row>
    <row r="818" ht="12.5" spans="12:13">
      <c r="L818" s="14"/>
      <c r="M818" s="14"/>
    </row>
    <row r="819" ht="12.5" spans="12:13">
      <c r="L819" s="14"/>
      <c r="M819" s="14"/>
    </row>
    <row r="820" ht="12.5" spans="12:13">
      <c r="L820" s="14"/>
      <c r="M820" s="14"/>
    </row>
    <row r="821" ht="12.5" spans="12:13">
      <c r="L821" s="14"/>
      <c r="M821" s="14"/>
    </row>
    <row r="822" ht="12.5" spans="12:13">
      <c r="L822" s="14"/>
      <c r="M822" s="14"/>
    </row>
    <row r="823" ht="12.5" spans="12:13">
      <c r="L823" s="14"/>
      <c r="M823" s="14"/>
    </row>
    <row r="824" ht="12.5" spans="12:13">
      <c r="L824" s="14"/>
      <c r="M824" s="14"/>
    </row>
    <row r="825" ht="12.5" spans="12:13">
      <c r="L825" s="14"/>
      <c r="M825" s="14"/>
    </row>
    <row r="826" ht="12.5" spans="12:13">
      <c r="L826" s="14"/>
      <c r="M826" s="14"/>
    </row>
    <row r="827" ht="12.5" spans="12:13">
      <c r="L827" s="14"/>
      <c r="M827" s="14"/>
    </row>
    <row r="828" ht="12.5" spans="12:13">
      <c r="L828" s="14"/>
      <c r="M828" s="14"/>
    </row>
    <row r="829" ht="12.5" spans="12:13">
      <c r="L829" s="14"/>
      <c r="M829" s="14"/>
    </row>
    <row r="830" ht="12.5" spans="12:13">
      <c r="L830" s="14"/>
      <c r="M830" s="14"/>
    </row>
    <row r="831" ht="12.5" spans="12:13">
      <c r="L831" s="14"/>
      <c r="M831" s="14"/>
    </row>
    <row r="832" ht="12.5" spans="12:13">
      <c r="L832" s="14"/>
      <c r="M832" s="14"/>
    </row>
    <row r="833" ht="12.5" spans="12:13">
      <c r="L833" s="14"/>
      <c r="M833" s="14"/>
    </row>
    <row r="834" ht="12.5" spans="12:13">
      <c r="L834" s="14"/>
      <c r="M834" s="14"/>
    </row>
    <row r="835" ht="12.5" spans="12:13">
      <c r="L835" s="14"/>
      <c r="M835" s="14"/>
    </row>
    <row r="836" ht="12.5" spans="12:13">
      <c r="L836" s="14"/>
      <c r="M836" s="14"/>
    </row>
    <row r="837" ht="12.5" spans="12:13">
      <c r="L837" s="14"/>
      <c r="M837" s="14"/>
    </row>
    <row r="838" ht="12.5" spans="12:13">
      <c r="L838" s="14"/>
      <c r="M838" s="14"/>
    </row>
    <row r="839" ht="12.5" spans="12:13">
      <c r="L839" s="14"/>
      <c r="M839" s="14"/>
    </row>
    <row r="840" ht="12.5" spans="12:13">
      <c r="L840" s="14"/>
      <c r="M840" s="14"/>
    </row>
    <row r="841" ht="12.5" spans="12:13">
      <c r="L841" s="14"/>
      <c r="M841" s="14"/>
    </row>
    <row r="842" ht="12.5" spans="12:13">
      <c r="L842" s="14"/>
      <c r="M842" s="14"/>
    </row>
    <row r="843" ht="12.5" spans="12:13">
      <c r="L843" s="14"/>
      <c r="M843" s="14"/>
    </row>
    <row r="844" ht="12.5" spans="12:13">
      <c r="L844" s="14"/>
      <c r="M844" s="14"/>
    </row>
    <row r="845" ht="12.5" spans="12:13">
      <c r="L845" s="14"/>
      <c r="M845" s="14"/>
    </row>
    <row r="846" ht="12.5" spans="12:13">
      <c r="L846" s="14"/>
      <c r="M846" s="14"/>
    </row>
    <row r="847" ht="12.5" spans="12:13">
      <c r="L847" s="14"/>
      <c r="M847" s="14"/>
    </row>
    <row r="848" ht="12.5" spans="12:13">
      <c r="L848" s="14"/>
      <c r="M848" s="14"/>
    </row>
    <row r="849" ht="12.5" spans="12:13">
      <c r="L849" s="14"/>
      <c r="M849" s="14"/>
    </row>
    <row r="850" ht="12.5" spans="12:13">
      <c r="L850" s="14"/>
      <c r="M850" s="14"/>
    </row>
    <row r="851" ht="12.5" spans="12:13">
      <c r="L851" s="14"/>
      <c r="M851" s="14"/>
    </row>
    <row r="852" ht="12.5" spans="12:13">
      <c r="L852" s="14"/>
      <c r="M852" s="14"/>
    </row>
    <row r="853" ht="12.5" spans="12:13">
      <c r="L853" s="14"/>
      <c r="M853" s="14"/>
    </row>
    <row r="854" ht="12.5" spans="12:13">
      <c r="L854" s="14"/>
      <c r="M854" s="14"/>
    </row>
    <row r="855" ht="12.5" spans="12:13">
      <c r="L855" s="14"/>
      <c r="M855" s="14"/>
    </row>
    <row r="856" ht="12.5" spans="12:13">
      <c r="L856" s="14"/>
      <c r="M856" s="14"/>
    </row>
    <row r="857" ht="12.5" spans="12:13">
      <c r="L857" s="14"/>
      <c r="M857" s="14"/>
    </row>
    <row r="858" ht="12.5" spans="12:13">
      <c r="L858" s="14"/>
      <c r="M858" s="14"/>
    </row>
    <row r="859" ht="12.5" spans="12:13">
      <c r="L859" s="14"/>
      <c r="M859" s="14"/>
    </row>
    <row r="860" ht="12.5" spans="12:13">
      <c r="L860" s="14"/>
      <c r="M860" s="14"/>
    </row>
    <row r="861" ht="12.5" spans="12:13">
      <c r="L861" s="14"/>
      <c r="M861" s="14"/>
    </row>
    <row r="862" ht="12.5" spans="12:13">
      <c r="L862" s="14"/>
      <c r="M862" s="14"/>
    </row>
    <row r="863" ht="12.5" spans="12:13">
      <c r="L863" s="14"/>
      <c r="M863" s="14"/>
    </row>
    <row r="864" ht="12.5" spans="12:13">
      <c r="L864" s="14"/>
      <c r="M864" s="14"/>
    </row>
    <row r="865" ht="12.5" spans="12:13">
      <c r="L865" s="14"/>
      <c r="M865" s="14"/>
    </row>
    <row r="866" ht="12.5" spans="12:13">
      <c r="L866" s="14"/>
      <c r="M866" s="14"/>
    </row>
    <row r="867" ht="12.5" spans="12:13">
      <c r="L867" s="14"/>
      <c r="M867" s="14"/>
    </row>
    <row r="868" ht="12.5" spans="12:13">
      <c r="L868" s="14"/>
      <c r="M868" s="14"/>
    </row>
    <row r="869" ht="12.5" spans="12:13">
      <c r="L869" s="14"/>
      <c r="M869" s="14"/>
    </row>
    <row r="870" ht="12.5" spans="12:13">
      <c r="L870" s="14"/>
      <c r="M870" s="14"/>
    </row>
    <row r="871" ht="12.5" spans="12:13">
      <c r="L871" s="14"/>
      <c r="M871" s="14"/>
    </row>
    <row r="872" ht="12.5" spans="12:13">
      <c r="L872" s="14"/>
      <c r="M872" s="14"/>
    </row>
    <row r="873" ht="12.5" spans="12:13">
      <c r="L873" s="14"/>
      <c r="M873" s="14"/>
    </row>
    <row r="874" ht="12.5" spans="12:13">
      <c r="L874" s="14"/>
      <c r="M874" s="14"/>
    </row>
    <row r="875" ht="12.5" spans="12:13">
      <c r="L875" s="14"/>
      <c r="M875" s="14"/>
    </row>
    <row r="876" ht="12.5" spans="12:13">
      <c r="L876" s="14"/>
      <c r="M876" s="14"/>
    </row>
    <row r="877" ht="12.5" spans="12:13">
      <c r="L877" s="14"/>
      <c r="M877" s="14"/>
    </row>
    <row r="878" ht="12.5" spans="12:13">
      <c r="L878" s="14"/>
      <c r="M878" s="14"/>
    </row>
    <row r="879" ht="12.5" spans="12:13">
      <c r="L879" s="14"/>
      <c r="M879" s="14"/>
    </row>
    <row r="880" ht="12.5" spans="12:13">
      <c r="L880" s="14"/>
      <c r="M880" s="14"/>
    </row>
    <row r="881" ht="12.5" spans="12:13">
      <c r="L881" s="14"/>
      <c r="M881" s="14"/>
    </row>
    <row r="882" ht="12.5" spans="12:13">
      <c r="L882" s="14"/>
      <c r="M882" s="14"/>
    </row>
    <row r="883" ht="12.5" spans="12:13">
      <c r="L883" s="14"/>
      <c r="M883" s="14"/>
    </row>
    <row r="884" ht="12.5" spans="12:13">
      <c r="L884" s="14"/>
      <c r="M884" s="14"/>
    </row>
    <row r="885" ht="12.5" spans="12:13">
      <c r="L885" s="14"/>
      <c r="M885" s="14"/>
    </row>
    <row r="886" ht="12.5" spans="12:13">
      <c r="L886" s="14"/>
      <c r="M886" s="14"/>
    </row>
    <row r="887" ht="12.5" spans="12:13">
      <c r="L887" s="14"/>
      <c r="M887" s="14"/>
    </row>
    <row r="888" ht="12.5" spans="12:13">
      <c r="L888" s="14"/>
      <c r="M888" s="14"/>
    </row>
    <row r="889" ht="12.5" spans="12:13">
      <c r="L889" s="14"/>
      <c r="M889" s="14"/>
    </row>
    <row r="890" ht="12.5" spans="12:13">
      <c r="L890" s="14"/>
      <c r="M890" s="14"/>
    </row>
    <row r="891" ht="12.5" spans="12:13">
      <c r="L891" s="14"/>
      <c r="M891" s="14"/>
    </row>
    <row r="892" ht="12.5" spans="12:13">
      <c r="L892" s="14"/>
      <c r="M892" s="14"/>
    </row>
    <row r="893" ht="12.5" spans="12:13">
      <c r="L893" s="14"/>
      <c r="M893" s="14"/>
    </row>
    <row r="894" ht="12.5" spans="12:13">
      <c r="L894" s="14"/>
      <c r="M894" s="14"/>
    </row>
    <row r="895" ht="12.5" spans="12:13">
      <c r="L895" s="14"/>
      <c r="M895" s="14"/>
    </row>
    <row r="896" ht="12.5" spans="12:13">
      <c r="L896" s="14"/>
      <c r="M896" s="14"/>
    </row>
    <row r="897" ht="12.5" spans="12:13">
      <c r="L897" s="14"/>
      <c r="M897" s="14"/>
    </row>
    <row r="898" ht="12.5" spans="12:13">
      <c r="L898" s="14"/>
      <c r="M898" s="14"/>
    </row>
    <row r="899" ht="12.5" spans="12:13">
      <c r="L899" s="14"/>
      <c r="M899" s="14"/>
    </row>
    <row r="900" ht="12.5" spans="12:13">
      <c r="L900" s="14"/>
      <c r="M900" s="14"/>
    </row>
    <row r="901" ht="12.5" spans="12:13">
      <c r="L901" s="14"/>
      <c r="M901" s="14"/>
    </row>
    <row r="902" ht="12.5" spans="12:13">
      <c r="L902" s="14"/>
      <c r="M902" s="14"/>
    </row>
    <row r="903" ht="12.5" spans="12:13">
      <c r="L903" s="14"/>
      <c r="M903" s="14"/>
    </row>
    <row r="904" ht="12.5" spans="12:13">
      <c r="L904" s="14"/>
      <c r="M904" s="14"/>
    </row>
    <row r="905" ht="12.5" spans="12:13">
      <c r="L905" s="14"/>
      <c r="M905" s="14"/>
    </row>
    <row r="906" ht="12.5" spans="12:13">
      <c r="L906" s="14"/>
      <c r="M906" s="14"/>
    </row>
    <row r="907" ht="12.5" spans="12:13">
      <c r="L907" s="14"/>
      <c r="M907" s="14"/>
    </row>
    <row r="908" ht="12.5" spans="12:13">
      <c r="L908" s="14"/>
      <c r="M908" s="14"/>
    </row>
    <row r="909" ht="12.5" spans="12:13">
      <c r="L909" s="14"/>
      <c r="M909" s="14"/>
    </row>
    <row r="910" ht="12.5" spans="12:13">
      <c r="L910" s="14"/>
      <c r="M910" s="14"/>
    </row>
    <row r="911" ht="12.5" spans="12:13">
      <c r="L911" s="14"/>
      <c r="M911" s="14"/>
    </row>
    <row r="912" ht="12.5" spans="12:13">
      <c r="L912" s="14"/>
      <c r="M912" s="14"/>
    </row>
    <row r="913" ht="12.5" spans="12:13">
      <c r="L913" s="14"/>
      <c r="M913" s="14"/>
    </row>
    <row r="914" ht="12.5" spans="12:13">
      <c r="L914" s="14"/>
      <c r="M914" s="14"/>
    </row>
    <row r="915" ht="12.5" spans="12:13">
      <c r="L915" s="14"/>
      <c r="M915" s="14"/>
    </row>
    <row r="916" ht="12.5" spans="12:13">
      <c r="L916" s="14"/>
      <c r="M916" s="14"/>
    </row>
    <row r="917" ht="12.5" spans="12:13">
      <c r="L917" s="14"/>
      <c r="M917" s="14"/>
    </row>
    <row r="918" ht="12.5" spans="12:13">
      <c r="L918" s="14"/>
      <c r="M918" s="14"/>
    </row>
    <row r="919" ht="12.5" spans="12:13">
      <c r="L919" s="14"/>
      <c r="M919" s="14"/>
    </row>
    <row r="920" ht="12.5" spans="12:13">
      <c r="L920" s="14"/>
      <c r="M920" s="14"/>
    </row>
    <row r="921" ht="12.5" spans="12:13">
      <c r="L921" s="14"/>
      <c r="M921" s="14"/>
    </row>
    <row r="922" ht="12.5" spans="12:13">
      <c r="L922" s="14"/>
      <c r="M922" s="14"/>
    </row>
    <row r="923" ht="12.5" spans="12:13">
      <c r="L923" s="14"/>
      <c r="M923" s="14"/>
    </row>
    <row r="924" ht="12.5" spans="12:13">
      <c r="L924" s="14"/>
      <c r="M924" s="14"/>
    </row>
    <row r="925" ht="12.5" spans="12:13">
      <c r="L925" s="14"/>
      <c r="M925" s="14"/>
    </row>
    <row r="926" ht="12.5" spans="12:13">
      <c r="L926" s="14"/>
      <c r="M926" s="14"/>
    </row>
    <row r="927" ht="12.5" spans="12:13">
      <c r="L927" s="14"/>
      <c r="M927" s="14"/>
    </row>
    <row r="928" ht="12.5" spans="12:13">
      <c r="L928" s="14"/>
      <c r="M928" s="14"/>
    </row>
    <row r="929" ht="12.5" spans="12:13">
      <c r="L929" s="14"/>
      <c r="M929" s="14"/>
    </row>
    <row r="930" ht="12.5" spans="12:13">
      <c r="L930" s="14"/>
      <c r="M930" s="14"/>
    </row>
    <row r="931" ht="12.5" spans="12:13">
      <c r="L931" s="14"/>
      <c r="M931" s="14"/>
    </row>
    <row r="932" ht="12.5" spans="12:13">
      <c r="L932" s="14"/>
      <c r="M932" s="14"/>
    </row>
    <row r="933" ht="12.5" spans="12:13">
      <c r="L933" s="14"/>
      <c r="M933" s="14"/>
    </row>
    <row r="934" ht="12.5" spans="12:13">
      <c r="L934" s="14"/>
      <c r="M934" s="14"/>
    </row>
    <row r="935" ht="12.5" spans="12:13">
      <c r="L935" s="14"/>
      <c r="M935" s="14"/>
    </row>
    <row r="936" ht="12.5" spans="12:13">
      <c r="L936" s="14"/>
      <c r="M936" s="14"/>
    </row>
    <row r="937" ht="12.5" spans="12:13">
      <c r="L937" s="14"/>
      <c r="M937" s="14"/>
    </row>
    <row r="938" ht="12.5" spans="12:13">
      <c r="L938" s="14"/>
      <c r="M938" s="14"/>
    </row>
    <row r="939" ht="12.5" spans="12:13">
      <c r="L939" s="14"/>
      <c r="M939" s="14"/>
    </row>
    <row r="940" ht="12.5" spans="12:13">
      <c r="L940" s="14"/>
      <c r="M940" s="14"/>
    </row>
    <row r="941" ht="12.5" spans="12:13">
      <c r="L941" s="14"/>
      <c r="M941" s="14"/>
    </row>
    <row r="942" ht="12.5" spans="12:13">
      <c r="L942" s="14"/>
      <c r="M942" s="14"/>
    </row>
    <row r="943" ht="12.5" spans="12:13">
      <c r="L943" s="14"/>
      <c r="M943" s="14"/>
    </row>
    <row r="944" ht="12.5" spans="12:13">
      <c r="L944" s="14"/>
      <c r="M944" s="14"/>
    </row>
    <row r="945" ht="12.5" spans="12:13">
      <c r="L945" s="14"/>
      <c r="M945" s="14"/>
    </row>
    <row r="946" ht="12.5" spans="12:13">
      <c r="L946" s="14"/>
      <c r="M946" s="14"/>
    </row>
    <row r="947" ht="12.5" spans="12:13">
      <c r="L947" s="14"/>
      <c r="M947" s="14"/>
    </row>
    <row r="948" ht="12.5" spans="12:13">
      <c r="L948" s="14"/>
      <c r="M948" s="14"/>
    </row>
    <row r="949" ht="12.5" spans="12:13">
      <c r="L949" s="14"/>
      <c r="M949" s="14"/>
    </row>
    <row r="950" ht="12.5" spans="12:13">
      <c r="L950" s="14"/>
      <c r="M950" s="14"/>
    </row>
    <row r="951" ht="12.5" spans="12:13">
      <c r="L951" s="14"/>
      <c r="M951" s="14"/>
    </row>
    <row r="952" ht="12.5" spans="12:13">
      <c r="L952" s="14"/>
      <c r="M952" s="14"/>
    </row>
    <row r="953" ht="12.5" spans="12:13">
      <c r="L953" s="14"/>
      <c r="M953" s="14"/>
    </row>
    <row r="954" ht="12.5" spans="12:13">
      <c r="L954" s="14"/>
      <c r="M954" s="14"/>
    </row>
    <row r="955" ht="12.5" spans="12:13">
      <c r="L955" s="14"/>
      <c r="M955" s="14"/>
    </row>
    <row r="956" ht="12.5" spans="12:13">
      <c r="L956" s="14"/>
      <c r="M956" s="14"/>
    </row>
    <row r="957" ht="12.5" spans="12:13">
      <c r="L957" s="14"/>
      <c r="M957" s="14"/>
    </row>
    <row r="958" ht="12.5" spans="12:13">
      <c r="L958" s="14"/>
      <c r="M958" s="14"/>
    </row>
    <row r="959" ht="12.5" spans="12:13">
      <c r="L959" s="14"/>
      <c r="M959" s="14"/>
    </row>
    <row r="960" ht="12.5" spans="12:13">
      <c r="L960" s="14"/>
      <c r="M960" s="14"/>
    </row>
    <row r="961" ht="12.5" spans="12:13">
      <c r="L961" s="14"/>
      <c r="M961" s="14"/>
    </row>
    <row r="962" ht="12.5" spans="12:13">
      <c r="L962" s="14"/>
      <c r="M962" s="14"/>
    </row>
    <row r="963" ht="12.5" spans="12:13">
      <c r="L963" s="14"/>
      <c r="M963" s="14"/>
    </row>
    <row r="964" ht="12.5" spans="12:13">
      <c r="L964" s="14"/>
      <c r="M964" s="14"/>
    </row>
    <row r="965" ht="12.5" spans="12:13">
      <c r="L965" s="14"/>
      <c r="M965" s="14"/>
    </row>
    <row r="966" ht="12.5" spans="12:13">
      <c r="L966" s="14"/>
      <c r="M966" s="14"/>
    </row>
    <row r="967" ht="12.5" spans="12:13">
      <c r="L967" s="14"/>
      <c r="M967" s="14"/>
    </row>
    <row r="968" ht="12.5" spans="12:13">
      <c r="L968" s="14"/>
      <c r="M968" s="14"/>
    </row>
    <row r="969" ht="12.5" spans="12:13">
      <c r="L969" s="14"/>
      <c r="M969" s="14"/>
    </row>
    <row r="970" ht="12.5" spans="12:13">
      <c r="L970" s="14"/>
      <c r="M970" s="14"/>
    </row>
    <row r="971" ht="12.5" spans="12:13">
      <c r="L971" s="14"/>
      <c r="M971" s="14"/>
    </row>
    <row r="972" ht="12.5" spans="12:13">
      <c r="L972" s="14"/>
      <c r="M972" s="14"/>
    </row>
    <row r="973" ht="12.5" spans="12:13">
      <c r="L973" s="14"/>
      <c r="M973" s="14"/>
    </row>
    <row r="974" ht="12.5" spans="12:13">
      <c r="L974" s="14"/>
      <c r="M974" s="14"/>
    </row>
    <row r="975" ht="12.5" spans="12:13">
      <c r="L975" s="14"/>
      <c r="M975" s="14"/>
    </row>
    <row r="976" ht="12.5" spans="12:13">
      <c r="L976" s="14"/>
      <c r="M976" s="14"/>
    </row>
    <row r="977" ht="12.5" spans="12:13">
      <c r="L977" s="14"/>
      <c r="M977" s="14"/>
    </row>
    <row r="978" ht="12.5" spans="12:13">
      <c r="L978" s="14"/>
      <c r="M978" s="14"/>
    </row>
    <row r="979" ht="12.5" spans="12:13">
      <c r="L979" s="14"/>
      <c r="M979" s="14"/>
    </row>
    <row r="980" ht="12.5" spans="12:13">
      <c r="L980" s="14"/>
      <c r="M980" s="14"/>
    </row>
    <row r="981" ht="12.5" spans="12:13">
      <c r="L981" s="14"/>
      <c r="M981" s="14"/>
    </row>
    <row r="982" ht="12.5" spans="12:13">
      <c r="L982" s="14"/>
      <c r="M982" s="14"/>
    </row>
    <row r="983" ht="12.5" spans="12:13">
      <c r="L983" s="14"/>
      <c r="M983" s="14"/>
    </row>
    <row r="984" ht="12.5" spans="12:13">
      <c r="L984" s="14"/>
      <c r="M984" s="14"/>
    </row>
    <row r="985" ht="12.5" spans="12:13">
      <c r="L985" s="14"/>
      <c r="M985" s="14"/>
    </row>
    <row r="986" ht="12.5" spans="12:13">
      <c r="L986" s="14"/>
      <c r="M986" s="14"/>
    </row>
    <row r="987" ht="12.5" spans="12:13">
      <c r="L987" s="14"/>
      <c r="M987" s="14"/>
    </row>
    <row r="988" ht="12.5" spans="12:13">
      <c r="L988" s="14"/>
      <c r="M988" s="14"/>
    </row>
    <row r="989" ht="12.5" spans="12:13">
      <c r="L989" s="14"/>
      <c r="M989" s="14"/>
    </row>
    <row r="990" ht="12.5" spans="12:13">
      <c r="L990" s="14"/>
      <c r="M990" s="14"/>
    </row>
    <row r="991" ht="12.5" spans="12:13">
      <c r="L991" s="14"/>
      <c r="M991" s="14"/>
    </row>
    <row r="992" ht="12.5" spans="12:13">
      <c r="L992" s="14"/>
      <c r="M992" s="14"/>
    </row>
    <row r="993" ht="12.5" spans="12:13">
      <c r="L993" s="14"/>
      <c r="M993" s="14"/>
    </row>
    <row r="994" ht="12.5" spans="12:13">
      <c r="L994" s="14"/>
      <c r="M994" s="14"/>
    </row>
    <row r="995" ht="12.5" spans="12:13">
      <c r="L995" s="14"/>
      <c r="M995" s="14"/>
    </row>
    <row r="996" ht="12.5" spans="12:13">
      <c r="L996" s="14"/>
      <c r="M996" s="14"/>
    </row>
    <row r="997" ht="12.5" spans="12:13">
      <c r="L997" s="14"/>
      <c r="M997" s="14"/>
    </row>
    <row r="998" ht="12.5" spans="12:13">
      <c r="L998" s="14"/>
      <c r="M998" s="14"/>
    </row>
    <row r="999" ht="12.5" spans="12:13">
      <c r="L999" s="14"/>
      <c r="M999" s="14"/>
    </row>
    <row r="1000" ht="12.5" spans="12:13">
      <c r="L1000" s="14"/>
      <c r="M1000" s="1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4"/>
  <sheetViews>
    <sheetView workbookViewId="0">
      <selection activeCell="H4" sqref="H4"/>
    </sheetView>
  </sheetViews>
  <sheetFormatPr defaultColWidth="12.6363636363636" defaultRowHeight="15.75" customHeight="1" outlineLevelRow="3"/>
  <cols>
    <col min="1" max="1" width="13.9090909090909" customWidth="1"/>
    <col min="2" max="2" width="18.3636363636364" customWidth="1"/>
    <col min="5" max="5" width="13.4545454545455" customWidth="1"/>
  </cols>
  <sheetData>
    <row r="1" ht="13" spans="1:26">
      <c r="A1" s="1" t="s">
        <v>14</v>
      </c>
      <c r="B1" s="1" t="s">
        <v>107</v>
      </c>
      <c r="C1" s="1" t="s">
        <v>108</v>
      </c>
      <c r="D1" s="1" t="s">
        <v>8</v>
      </c>
      <c r="E1" s="1" t="s">
        <v>109</v>
      </c>
      <c r="F1" s="1" t="s">
        <v>110</v>
      </c>
      <c r="G1" s="1" t="s">
        <v>111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Height="1" spans="1:7">
      <c r="A2" s="2" t="s">
        <v>112</v>
      </c>
      <c r="B2" s="2" t="s">
        <v>113</v>
      </c>
      <c r="C2" s="2" t="s">
        <v>114</v>
      </c>
      <c r="D2" s="3">
        <v>45292</v>
      </c>
      <c r="E2" s="2" t="str">
        <f t="shared" ref="E2:E4" si="0">PROPER(A2)</f>
        <v>Nahiyan Islam</v>
      </c>
      <c r="F2" s="2" t="str">
        <f t="shared" ref="F2:F4" si="1">MID(C2,5,3)</f>
        <v>101</v>
      </c>
      <c r="G2" s="4">
        <f t="shared" ref="G2:G4" si="2">EDATE(D2,6)</f>
        <v>45474</v>
      </c>
    </row>
    <row r="3" customHeight="1" spans="1:7">
      <c r="A3" s="2" t="s">
        <v>115</v>
      </c>
      <c r="B3" s="2" t="s">
        <v>116</v>
      </c>
      <c r="C3" s="2" t="s">
        <v>117</v>
      </c>
      <c r="D3" s="3">
        <v>45294</v>
      </c>
      <c r="E3" s="2" t="str">
        <f t="shared" si="0"/>
        <v>Rahbat Rehnuma</v>
      </c>
      <c r="F3" s="2" t="str">
        <f t="shared" si="1"/>
        <v>102</v>
      </c>
      <c r="G3" s="4">
        <f t="shared" si="2"/>
        <v>45476</v>
      </c>
    </row>
    <row r="4" customHeight="1" spans="1:7">
      <c r="A4" s="2" t="s">
        <v>118</v>
      </c>
      <c r="B4" s="2" t="s">
        <v>119</v>
      </c>
      <c r="C4" s="2" t="s">
        <v>120</v>
      </c>
      <c r="D4" s="3">
        <v>45296</v>
      </c>
      <c r="E4" s="2" t="str">
        <f t="shared" si="0"/>
        <v>Sadique Sabab</v>
      </c>
      <c r="F4" s="2" t="str">
        <f t="shared" si="1"/>
        <v>103</v>
      </c>
      <c r="G4" s="4">
        <f t="shared" si="2"/>
        <v>45478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Part A &amp; B</vt:lpstr>
      <vt:lpstr>Part 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dx abid</cp:lastModifiedBy>
  <dcterms:created xsi:type="dcterms:W3CDTF">2025-10-25T14:05:13Z</dcterms:created>
  <dcterms:modified xsi:type="dcterms:W3CDTF">2025-10-25T14:05:34Z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D33B6626A32A4A65A190FA6CC0106882_12</vt:lpwstr>
  </property>
  <property fmtid="{D5CDD505-2E9C-101B-9397-08002B2CF9AE}" pid="3" name="KSOProductBuildVer">
    <vt:lpwstr>1033-12.2.0.23131</vt:lpwstr>
  </property>
</Properties>
</file>